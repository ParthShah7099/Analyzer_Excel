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9.xml" ContentType="application/vnd.openxmlformats-officedocument.drawingml.chart+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10.xml" ContentType="application/vnd.openxmlformats-officedocument.drawingml.chart+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12.xml" ContentType="application/vnd.openxmlformats-officedocument.drawingml.chart+xml"/>
  <Override PartName="/xl/drawings/drawing6.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13.xml" ContentType="application/vnd.openxmlformats-officedocument.drawingml.chart+xml"/>
  <Override PartName="/xl/charts/chart14.xml" ContentType="application/vnd.openxmlformats-officedocument.drawingml.chart+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24226"/>
  <mc:AlternateContent xmlns:mc="http://schemas.openxmlformats.org/markup-compatibility/2006">
    <mc:Choice Requires="x15">
      <x15ac:absPath xmlns:x15ac="http://schemas.microsoft.com/office/spreadsheetml/2010/11/ac" url="/Users/theparthshah/Analyzer/"/>
    </mc:Choice>
  </mc:AlternateContent>
  <xr:revisionPtr revIDLastSave="0" documentId="13_ncr:1_{A804EA55-BC82-4245-9B9F-B27F74AB57EE}" xr6:coauthVersionLast="47" xr6:coauthVersionMax="47" xr10:uidLastSave="{00000000-0000-0000-0000-000000000000}"/>
  <bookViews>
    <workbookView xWindow="0" yWindow="600" windowWidth="29920" windowHeight="17100" firstSheet="4" activeTab="8" xr2:uid="{00000000-000D-0000-FFFF-FFFF00000000}"/>
  </bookViews>
  <sheets>
    <sheet name="DASHBOARD" sheetId="13" r:id="rId1"/>
    <sheet name="Project Instructions" sheetId="12" r:id="rId2"/>
    <sheet name="Dataset" sheetId="1" r:id="rId3"/>
    <sheet name="Task1 - Top10 Cust" sheetId="2" r:id="rId4"/>
    <sheet name="Task2 - WhatIf" sheetId="3" r:id="rId5"/>
    <sheet name="Task3 - Regression" sheetId="4" r:id="rId6"/>
    <sheet name="Task4 - Descriptives" sheetId="5" r:id="rId7"/>
    <sheet name="Task5 - Monthly" sheetId="6" r:id="rId8"/>
    <sheet name="Task6 - Timestamp" sheetId="7" r:id="rId9"/>
    <sheet name="Task7 - HighValue" sheetId="8" r:id="rId10"/>
    <sheet name="Task8 - PivotRp" sheetId="9" r:id="rId11"/>
    <sheet name="Task9 - Charts" sheetId="10" r:id="rId12"/>
    <sheet name="Summary - Exec Overview" sheetId="11"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01" i="7" l="1"/>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2" i="7"/>
  <c r="A7" i="8"/>
</calcChain>
</file>

<file path=xl/sharedStrings.xml><?xml version="1.0" encoding="utf-8"?>
<sst xmlns="http://schemas.openxmlformats.org/spreadsheetml/2006/main" count="1998" uniqueCount="284">
  <si>
    <t>Customer_ID</t>
  </si>
  <si>
    <t>Customer_Name</t>
  </si>
  <si>
    <t>Region</t>
  </si>
  <si>
    <t>Product_Category</t>
  </si>
  <si>
    <t>Sales</t>
  </si>
  <si>
    <t>Quantity</t>
  </si>
  <si>
    <t>Discount</t>
  </si>
  <si>
    <t>Order_Date</t>
  </si>
  <si>
    <t>Profit</t>
  </si>
  <si>
    <t>CUST019</t>
  </si>
  <si>
    <t>CUST012</t>
  </si>
  <si>
    <t>CUST017</t>
  </si>
  <si>
    <t>CUST005</t>
  </si>
  <si>
    <t>CUST030</t>
  </si>
  <si>
    <t>CUST007</t>
  </si>
  <si>
    <t>CUST001</t>
  </si>
  <si>
    <t>CUST026</t>
  </si>
  <si>
    <t>CUST009</t>
  </si>
  <si>
    <t>CUST010</t>
  </si>
  <si>
    <t>CUST014</t>
  </si>
  <si>
    <t>CUST023</t>
  </si>
  <si>
    <t>CUST029</t>
  </si>
  <si>
    <t>CUST008</t>
  </si>
  <si>
    <t>CUST006</t>
  </si>
  <si>
    <t>CUST022</t>
  </si>
  <si>
    <t>CUST028</t>
  </si>
  <si>
    <t>CUST025</t>
  </si>
  <si>
    <t>CUST021</t>
  </si>
  <si>
    <t>CUST015</t>
  </si>
  <si>
    <t>CUST016</t>
  </si>
  <si>
    <t>CUST011</t>
  </si>
  <si>
    <t>CUST002</t>
  </si>
  <si>
    <t>CUST003</t>
  </si>
  <si>
    <t>CUST020</t>
  </si>
  <si>
    <t>CUST024</t>
  </si>
  <si>
    <t>CUST004</t>
  </si>
  <si>
    <t>CUST013</t>
  </si>
  <si>
    <t>CUST027</t>
  </si>
  <si>
    <t>CUST018</t>
  </si>
  <si>
    <t>James Davis</t>
  </si>
  <si>
    <t>Robert Anderson</t>
  </si>
  <si>
    <t>James Taylor</t>
  </si>
  <si>
    <t>James Wilson</t>
  </si>
  <si>
    <t>Michael Anderson</t>
  </si>
  <si>
    <t>Linda Wilson</t>
  </si>
  <si>
    <t>Mary Davis</t>
  </si>
  <si>
    <t>Linda Jackson</t>
  </si>
  <si>
    <t>David Thomas</t>
  </si>
  <si>
    <t>Emma Davis</t>
  </si>
  <si>
    <t>David Smith</t>
  </si>
  <si>
    <t>Sarah Anderson</t>
  </si>
  <si>
    <t>Lisa Thomas</t>
  </si>
  <si>
    <t>Mary Jackson</t>
  </si>
  <si>
    <t>Lisa Davis</t>
  </si>
  <si>
    <t>Linda Brown</t>
  </si>
  <si>
    <t>John Brown</t>
  </si>
  <si>
    <t>Linda Taylor</t>
  </si>
  <si>
    <t>David Brown</t>
  </si>
  <si>
    <t>David Davis</t>
  </si>
  <si>
    <t>Mary Wilson</t>
  </si>
  <si>
    <t>Emma Wilson</t>
  </si>
  <si>
    <t>Linda Davis</t>
  </si>
  <si>
    <t>Sarah Davis</t>
  </si>
  <si>
    <t>Emma Taylor</t>
  </si>
  <si>
    <t>Linda Moore</t>
  </si>
  <si>
    <t>David Anderson</t>
  </si>
  <si>
    <t>West</t>
  </si>
  <si>
    <t>East</t>
  </si>
  <si>
    <t>South</t>
  </si>
  <si>
    <t>North</t>
  </si>
  <si>
    <t>Central</t>
  </si>
  <si>
    <t>Books</t>
  </si>
  <si>
    <t>Clothing</t>
  </si>
  <si>
    <t>Electronics</t>
  </si>
  <si>
    <t>Furniture</t>
  </si>
  <si>
    <t>Office Supplies</t>
  </si>
  <si>
    <t>2024-04-10</t>
  </si>
  <si>
    <t>2024-04-11</t>
  </si>
  <si>
    <t>2024-04-14</t>
  </si>
  <si>
    <t>2024-04-15</t>
  </si>
  <si>
    <t>2024-04-16</t>
  </si>
  <si>
    <t>2024-04-19</t>
  </si>
  <si>
    <t>2024-04-20</t>
  </si>
  <si>
    <t>2024-04-22</t>
  </si>
  <si>
    <t>2024-04-24</t>
  </si>
  <si>
    <t>2024-04-27</t>
  </si>
  <si>
    <t>2024-04-28</t>
  </si>
  <si>
    <t>2024-04-29</t>
  </si>
  <si>
    <t>2024-04-30</t>
  </si>
  <si>
    <t>2024-05-02</t>
  </si>
  <si>
    <t>2024-05-03</t>
  </si>
  <si>
    <t>2024-05-04</t>
  </si>
  <si>
    <t>2024-05-06</t>
  </si>
  <si>
    <t>2024-05-08</t>
  </si>
  <si>
    <t>2024-05-10</t>
  </si>
  <si>
    <t>2024-05-14</t>
  </si>
  <si>
    <t>2024-05-15</t>
  </si>
  <si>
    <t>2024-05-16</t>
  </si>
  <si>
    <t>2024-05-17</t>
  </si>
  <si>
    <t>2024-05-22</t>
  </si>
  <si>
    <t>2024-05-23</t>
  </si>
  <si>
    <t>2024-06-02</t>
  </si>
  <si>
    <t>2024-06-04</t>
  </si>
  <si>
    <t>2024-06-05</t>
  </si>
  <si>
    <t>2024-06-06</t>
  </si>
  <si>
    <t>2024-06-07</t>
  </si>
  <si>
    <t>2024-06-08</t>
  </si>
  <si>
    <t>2024-06-14</t>
  </si>
  <si>
    <t>2024-06-18</t>
  </si>
  <si>
    <t>2024-06-20</t>
  </si>
  <si>
    <t>2024-06-21</t>
  </si>
  <si>
    <t>2024-06-23</t>
  </si>
  <si>
    <t>2024-06-25</t>
  </si>
  <si>
    <t>2024-06-27</t>
  </si>
  <si>
    <t>2024-06-28</t>
  </si>
  <si>
    <t>2024-06-30</t>
  </si>
  <si>
    <t>2024-07-05</t>
  </si>
  <si>
    <t>2024-07-06</t>
  </si>
  <si>
    <t>2024-07-08</t>
  </si>
  <si>
    <t>2024-07-09</t>
  </si>
  <si>
    <t>2024-07-14</t>
  </si>
  <si>
    <t>2024-07-15</t>
  </si>
  <si>
    <t>2024-07-21</t>
  </si>
  <si>
    <t>2024-07-29</t>
  </si>
  <si>
    <t>2024-07-30</t>
  </si>
  <si>
    <t>2024-07-31</t>
  </si>
  <si>
    <t>2024-08-05</t>
  </si>
  <si>
    <t>2024-08-08</t>
  </si>
  <si>
    <t>2024-08-09</t>
  </si>
  <si>
    <t>2024-08-15</t>
  </si>
  <si>
    <t>2024-08-18</t>
  </si>
  <si>
    <t>2024-08-19</t>
  </si>
  <si>
    <t>2024-08-22</t>
  </si>
  <si>
    <t>2024-08-30</t>
  </si>
  <si>
    <t>2024-09-01</t>
  </si>
  <si>
    <t>2024-09-09</t>
  </si>
  <si>
    <t>2024-09-11</t>
  </si>
  <si>
    <t>2024-09-12</t>
  </si>
  <si>
    <t>2024-09-14</t>
  </si>
  <si>
    <t>2024-09-16</t>
  </si>
  <si>
    <t>2024-09-17</t>
  </si>
  <si>
    <t>2024-09-18</t>
  </si>
  <si>
    <t>2024-09-22</t>
  </si>
  <si>
    <t>2024-09-23</t>
  </si>
  <si>
    <t>2024-09-24</t>
  </si>
  <si>
    <t>2024-09-29</t>
  </si>
  <si>
    <t>2024-09-30</t>
  </si>
  <si>
    <t>2024-10-02</t>
  </si>
  <si>
    <t>2024-10-05</t>
  </si>
  <si>
    <t>2024-10-10</t>
  </si>
  <si>
    <t>2024-10-12</t>
  </si>
  <si>
    <t>2024-10-15</t>
  </si>
  <si>
    <t>2024-10-16</t>
  </si>
  <si>
    <t>2024-10-17</t>
  </si>
  <si>
    <t>2024-10-19</t>
  </si>
  <si>
    <t>2024-10-20</t>
  </si>
  <si>
    <t>2024-10-28</t>
  </si>
  <si>
    <t>2024-10-30</t>
  </si>
  <si>
    <t>2024-11-01</t>
  </si>
  <si>
    <t>2024-11-03</t>
  </si>
  <si>
    <t>2024-11-09</t>
  </si>
  <si>
    <t>2024-11-12</t>
  </si>
  <si>
    <t>2024-11-15</t>
  </si>
  <si>
    <t>2024-11-16</t>
  </si>
  <si>
    <t>2024-11-17</t>
  </si>
  <si>
    <t>2024-11-19</t>
  </si>
  <si>
    <t>2024-11-20</t>
  </si>
  <si>
    <t>2024-11-26</t>
  </si>
  <si>
    <t>2024-11-28</t>
  </si>
  <si>
    <t>2024-11-29</t>
  </si>
  <si>
    <t>2024-11-30</t>
  </si>
  <si>
    <t>2024-12-04</t>
  </si>
  <si>
    <t>2024-12-05</t>
  </si>
  <si>
    <t>2024-12-12</t>
  </si>
  <si>
    <t>2024-12-14</t>
  </si>
  <si>
    <t>2024-12-20</t>
  </si>
  <si>
    <t>2024-12-21</t>
  </si>
  <si>
    <t>2024-12-24</t>
  </si>
  <si>
    <t>2024-12-25</t>
  </si>
  <si>
    <t>2024-12-30</t>
  </si>
  <si>
    <t>2025-01-01</t>
  </si>
  <si>
    <t>2025-01-02</t>
  </si>
  <si>
    <t>2025-01-03</t>
  </si>
  <si>
    <t>2025-01-06</t>
  </si>
  <si>
    <t>2025-01-10</t>
  </si>
  <si>
    <t>2025-01-12</t>
  </si>
  <si>
    <t>2025-01-13</t>
  </si>
  <si>
    <t>2025-01-16</t>
  </si>
  <si>
    <t>2025-01-17</t>
  </si>
  <si>
    <t>2025-01-20</t>
  </si>
  <si>
    <t>2025-01-21</t>
  </si>
  <si>
    <t>2025-01-27</t>
  </si>
  <si>
    <t>2025-02-02</t>
  </si>
  <si>
    <t>2025-02-04</t>
  </si>
  <si>
    <t>2025-02-05</t>
  </si>
  <si>
    <t>2025-02-07</t>
  </si>
  <si>
    <t>2025-02-10</t>
  </si>
  <si>
    <t>2025-02-15</t>
  </si>
  <si>
    <t>2025-02-17</t>
  </si>
  <si>
    <t>2025-02-19</t>
  </si>
  <si>
    <t>2025-02-20</t>
  </si>
  <si>
    <t>2025-02-21</t>
  </si>
  <si>
    <t>2025-02-24</t>
  </si>
  <si>
    <t>2025-02-25</t>
  </si>
  <si>
    <t>2025-02-27</t>
  </si>
  <si>
    <t>2025-03-01</t>
  </si>
  <si>
    <t>2025-03-02</t>
  </si>
  <si>
    <t>2025-03-05</t>
  </si>
  <si>
    <t>2025-03-08</t>
  </si>
  <si>
    <t>2025-03-09</t>
  </si>
  <si>
    <t>2025-03-10</t>
  </si>
  <si>
    <t>2025-03-11</t>
  </si>
  <si>
    <t>2025-03-17</t>
  </si>
  <si>
    <t>2025-03-18</t>
  </si>
  <si>
    <t>2025-03-20</t>
  </si>
  <si>
    <t>2025-03-22</t>
  </si>
  <si>
    <t>2025-03-25</t>
  </si>
  <si>
    <t>2025-03-26</t>
  </si>
  <si>
    <t>2025-03-27</t>
  </si>
  <si>
    <t>2025-03-29</t>
  </si>
  <si>
    <t>2025-03-30</t>
  </si>
  <si>
    <t>2025-04-02</t>
  </si>
  <si>
    <t>2025-04-05</t>
  </si>
  <si>
    <t>2025-04-07</t>
  </si>
  <si>
    <t>Total_Purchase</t>
  </si>
  <si>
    <t>Est_Total_Sales</t>
  </si>
  <si>
    <t>Est_Total_Profit</t>
  </si>
  <si>
    <t>Metric</t>
  </si>
  <si>
    <t>Value</t>
  </si>
  <si>
    <t>Intercept</t>
  </si>
  <si>
    <t>Slope</t>
  </si>
  <si>
    <t>R_squared</t>
  </si>
  <si>
    <t>Observations</t>
  </si>
  <si>
    <t>Predicted</t>
  </si>
  <si>
    <t>Field</t>
  </si>
  <si>
    <t>count</t>
  </si>
  <si>
    <t>mean</t>
  </si>
  <si>
    <t>std</t>
  </si>
  <si>
    <t>min</t>
  </si>
  <si>
    <t>25%</t>
  </si>
  <si>
    <t>50%</t>
  </si>
  <si>
    <t>75%</t>
  </si>
  <si>
    <t>max</t>
  </si>
  <si>
    <t>Month</t>
  </si>
  <si>
    <t>Total_Sales</t>
  </si>
  <si>
    <t>Growth</t>
  </si>
  <si>
    <t>Timestamp</t>
  </si>
  <si>
    <t>INDEX/MATCH Example:</t>
  </si>
  <si>
    <t>Products x Regions</t>
  </si>
  <si>
    <t>KPI</t>
  </si>
  <si>
    <t>Total Sales</t>
  </si>
  <si>
    <t>Total Profit</t>
  </si>
  <si>
    <t>Avg Order Value</t>
  </si>
  <si>
    <t>Number of Customers</t>
  </si>
  <si>
    <t>Executive Overview</t>
  </si>
  <si>
    <t>Workbook Index</t>
  </si>
  <si>
    <t>Dataset</t>
  </si>
  <si>
    <t>Sheet Dataset - generated</t>
  </si>
  <si>
    <t>Task1 - Top10 Cust</t>
  </si>
  <si>
    <t>Sheet Task1 - Top10 Cust - generated</t>
  </si>
  <si>
    <t>Task2 - WhatIf</t>
  </si>
  <si>
    <t>Sheet Task2 - WhatIf - generated</t>
  </si>
  <si>
    <t>Task3 - Regression</t>
  </si>
  <si>
    <t>Sheet Task3 - Regression - generated</t>
  </si>
  <si>
    <t>Task4 - Descriptives</t>
  </si>
  <si>
    <t>Sheet Task4 - Descriptives - generated</t>
  </si>
  <si>
    <t>Task5 - Monthly</t>
  </si>
  <si>
    <t>Sheet Task5 - Monthly - generated</t>
  </si>
  <si>
    <t>Task6 - Timestamp</t>
  </si>
  <si>
    <t>Sheet Task6 - Timestamp - generated</t>
  </si>
  <si>
    <t>Task7 - HighValue</t>
  </si>
  <si>
    <t>Sheet Task7 - HighValue - generated</t>
  </si>
  <si>
    <t>Task8 - PivotRp</t>
  </si>
  <si>
    <t>Sheet Task8 - PivotRp - generated</t>
  </si>
  <si>
    <t>Task9 - Charts</t>
  </si>
  <si>
    <t>Sheet Task9 - Charts - generated</t>
  </si>
  <si>
    <t>Summary - Exec Overview</t>
  </si>
  <si>
    <t>Sheet Summary - Exec Overview - generated</t>
  </si>
  <si>
    <t>Key KPIs</t>
  </si>
  <si>
    <t>Average Order Value</t>
  </si>
  <si>
    <t>PR. 2 Analyzer</t>
  </si>
  <si>
    <t>Column1</t>
  </si>
  <si>
    <t>Column2</t>
  </si>
  <si>
    <r>
      <rPr>
        <b/>
        <sz val="10"/>
        <color theme="1"/>
        <rFont val="Calibri (Body)"/>
      </rPr>
      <t xml:space="preserve">Topics:
</t>
    </r>
    <r>
      <rPr>
        <sz val="10"/>
        <color theme="1"/>
        <rFont val="Calibri (Body)"/>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0"/>
        <color rgb="FF38761D"/>
        <rFont val="Calibri (Body)"/>
      </rPr>
      <t>Main Tasks:</t>
    </r>
    <r>
      <rPr>
        <sz val="10"/>
        <color rgb="FF38761D"/>
        <rFont val="Calibri (Body)"/>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0"/>
        <color theme="1"/>
        <rFont val="Calibri (Body)"/>
      </rPr>
      <t xml:space="preserve">
</t>
    </r>
    <r>
      <rPr>
        <b/>
        <sz val="10"/>
        <color theme="1"/>
        <rFont val="Calibri (Body)"/>
      </rPr>
      <t xml:space="preserve">Deliverable:
</t>
    </r>
    <r>
      <rPr>
        <sz val="10"/>
        <color theme="1"/>
        <rFont val="Calibri (Body)"/>
      </rPr>
      <t>Complete the given worksheet by applying the required formulas in respective sheets.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</si>
</sst>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0.00"/>
    <numFmt numFmtId="166" formatCode="[$-F800]dddd\,\ mmmm\ dd\,\ yyyy"/>
  </numFmts>
  <fonts count="12" x14ac:knownFonts="1">
    <font>
      <sz val="11"/>
      <color theme="1"/>
      <name val="Calibri"/>
      <family val="2"/>
      <scheme val="minor"/>
    </font>
    <font>
      <b/>
      <sz val="11"/>
      <color rgb="FF0B3D91"/>
      <name val="Calibri"/>
      <family val="2"/>
      <scheme val="minor"/>
    </font>
    <font>
      <b/>
      <sz val="14"/>
      <color theme="1"/>
      <name val="Calibri"/>
      <family val="2"/>
      <scheme val="minor"/>
    </font>
    <font>
      <u/>
      <sz val="11"/>
      <color theme="10"/>
      <name val="Calibri"/>
      <family val="2"/>
    </font>
    <font>
      <b/>
      <sz val="14"/>
      <color rgb="FF0B3D91"/>
      <name val="Calibri"/>
      <family val="2"/>
      <scheme val="minor"/>
    </font>
    <font>
      <sz val="14"/>
      <color theme="1"/>
      <name val="Calibri"/>
      <family val="2"/>
      <scheme val="minor"/>
    </font>
    <font>
      <b/>
      <sz val="14"/>
      <color theme="1"/>
      <name val="Calibri (Body)"/>
    </font>
    <font>
      <sz val="14"/>
      <color theme="1"/>
      <name val="Calibri (Body)"/>
    </font>
    <font>
      <b/>
      <sz val="10"/>
      <color theme="1"/>
      <name val="Calibri (Body)"/>
    </font>
    <font>
      <sz val="10"/>
      <color theme="1"/>
      <name val="Calibri (Body)"/>
    </font>
    <font>
      <b/>
      <sz val="10"/>
      <color rgb="FF38761D"/>
      <name val="Calibri (Body)"/>
    </font>
    <font>
      <sz val="10"/>
      <color rgb="FF38761D"/>
      <name val="Calibri (Body)"/>
    </font>
  </fonts>
  <fills count="4">
    <fill>
      <patternFill patternType="none"/>
    </fill>
    <fill>
      <patternFill patternType="gray125"/>
    </fill>
    <fill>
      <patternFill patternType="solid">
        <fgColor rgb="FFE9EEF8"/>
        <bgColor indexed="64"/>
      </patternFill>
    </fill>
    <fill>
      <patternFill patternType="solid">
        <fgColor rgb="FFFFF2CC"/>
        <bgColor rgb="FFFFF2CC"/>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50">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10" fontId="5" fillId="0" borderId="1" xfId="0" applyNumberFormat="1" applyFont="1" applyBorder="1" applyAlignment="1">
      <alignment horizontal="center" vertical="center"/>
    </xf>
    <xf numFmtId="165"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5" fillId="0" borderId="4" xfId="0" applyFont="1" applyBorder="1" applyAlignment="1">
      <alignment horizontal="center" vertical="center"/>
    </xf>
    <xf numFmtId="4" fontId="5" fillId="0" borderId="5" xfId="0" applyNumberFormat="1" applyFont="1" applyBorder="1" applyAlignment="1">
      <alignment horizontal="center" vertical="center"/>
    </xf>
    <xf numFmtId="0" fontId="5" fillId="0" borderId="8" xfId="0" applyFont="1" applyBorder="1" applyAlignment="1">
      <alignment horizontal="center" vertical="center"/>
    </xf>
    <xf numFmtId="4" fontId="5" fillId="0" borderId="9" xfId="0" applyNumberFormat="1" applyFont="1" applyBorder="1" applyAlignment="1">
      <alignment horizontal="center" vertical="center"/>
    </xf>
    <xf numFmtId="4" fontId="5" fillId="0" borderId="1" xfId="0" applyNumberFormat="1" applyFont="1" applyBorder="1" applyAlignment="1">
      <alignment horizontal="center" vertical="center"/>
    </xf>
    <xf numFmtId="165" fontId="5" fillId="0" borderId="5" xfId="0" applyNumberFormat="1" applyFont="1" applyBorder="1" applyAlignment="1">
      <alignment horizontal="center" vertical="center"/>
    </xf>
    <xf numFmtId="165" fontId="5" fillId="0" borderId="9" xfId="0" applyNumberFormat="1" applyFont="1" applyBorder="1" applyAlignment="1">
      <alignment horizontal="center" vertical="center"/>
    </xf>
    <xf numFmtId="10" fontId="5" fillId="0" borderId="4" xfId="0" applyNumberFormat="1" applyFont="1" applyBorder="1" applyAlignment="1">
      <alignment horizontal="center" vertical="center"/>
    </xf>
    <xf numFmtId="0" fontId="4" fillId="2" borderId="2" xfId="0" applyFont="1" applyFill="1" applyBorder="1" applyAlignment="1">
      <alignment horizontal="center" vertical="center"/>
    </xf>
    <xf numFmtId="10" fontId="5" fillId="0" borderId="8" xfId="0" applyNumberFormat="1" applyFont="1" applyBorder="1" applyAlignment="1">
      <alignment horizontal="center" vertical="center"/>
    </xf>
    <xf numFmtId="4" fontId="5" fillId="0" borderId="10" xfId="0" applyNumberFormat="1" applyFont="1" applyBorder="1" applyAlignment="1">
      <alignment horizontal="center" vertical="center"/>
    </xf>
    <xf numFmtId="165" fontId="5" fillId="0" borderId="10" xfId="0" applyNumberFormat="1"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165" fontId="5" fillId="0" borderId="4" xfId="0" applyNumberFormat="1" applyFont="1" applyBorder="1" applyAlignment="1">
      <alignment horizontal="center" vertical="center"/>
    </xf>
    <xf numFmtId="165" fontId="5" fillId="0" borderId="8" xfId="0" applyNumberFormat="1" applyFont="1" applyBorder="1" applyAlignment="1">
      <alignment horizontal="center" vertical="center"/>
    </xf>
    <xf numFmtId="164" fontId="5" fillId="0" borderId="1" xfId="0" applyNumberFormat="1" applyFont="1" applyBorder="1" applyAlignment="1">
      <alignment horizontal="center" vertical="center"/>
    </xf>
    <xf numFmtId="10" fontId="5" fillId="0" borderId="5" xfId="0" applyNumberFormat="1" applyFont="1" applyBorder="1" applyAlignment="1">
      <alignment horizontal="center" vertical="center"/>
    </xf>
    <xf numFmtId="10" fontId="5" fillId="0" borderId="9" xfId="0" applyNumberFormat="1" applyFont="1" applyBorder="1" applyAlignment="1">
      <alignment horizontal="center" vertical="center"/>
    </xf>
    <xf numFmtId="166" fontId="5" fillId="0" borderId="4" xfId="0" applyNumberFormat="1" applyFont="1" applyBorder="1" applyAlignment="1">
      <alignment horizontal="center" vertical="center"/>
    </xf>
    <xf numFmtId="166" fontId="5" fillId="0" borderId="8" xfId="0" applyNumberFormat="1" applyFont="1" applyBorder="1" applyAlignment="1">
      <alignment horizontal="center" vertical="center"/>
    </xf>
    <xf numFmtId="0" fontId="4" fillId="2" borderId="11" xfId="0" applyFont="1" applyFill="1" applyBorder="1" applyAlignment="1">
      <alignment horizontal="center" vertical="center"/>
    </xf>
    <xf numFmtId="0" fontId="5" fillId="0" borderId="3" xfId="0" applyFont="1" applyBorder="1" applyAlignment="1">
      <alignment horizontal="center" vertical="center"/>
    </xf>
    <xf numFmtId="0" fontId="5" fillId="0" borderId="10" xfId="0" applyFont="1" applyBorder="1" applyAlignment="1">
      <alignment horizontal="center" vertical="center"/>
    </xf>
    <xf numFmtId="0" fontId="2" fillId="0" borderId="1" xfId="0" applyFont="1" applyBorder="1" applyAlignment="1">
      <alignment horizontal="center" vertical="center"/>
    </xf>
    <xf numFmtId="0" fontId="3" fillId="0" borderId="4" xfId="1" applyBorder="1" applyAlignment="1" applyProtection="1">
      <alignment horizontal="center" vertical="center"/>
    </xf>
    <xf numFmtId="0" fontId="0" fillId="0" borderId="5" xfId="0" applyBorder="1" applyAlignment="1">
      <alignment horizontal="center" vertical="center"/>
    </xf>
    <xf numFmtId="0" fontId="3" fillId="0" borderId="6" xfId="1" applyBorder="1" applyAlignment="1" applyProtection="1">
      <alignment horizontal="center" vertical="center"/>
    </xf>
    <xf numFmtId="0" fontId="0" fillId="0" borderId="7" xfId="0" applyBorder="1" applyAlignment="1">
      <alignment horizontal="center" vertical="center"/>
    </xf>
    <xf numFmtId="0" fontId="3" fillId="0" borderId="8" xfId="1" applyBorder="1" applyAlignment="1" applyProtection="1">
      <alignment horizontal="center" vertical="center"/>
    </xf>
    <xf numFmtId="0" fontId="0" fillId="0" borderId="9" xfId="0" applyBorder="1" applyAlignment="1">
      <alignment horizontal="center" vertical="center"/>
    </xf>
    <xf numFmtId="0" fontId="1" fillId="2" borderId="4" xfId="0" applyFont="1" applyFill="1" applyBorder="1" applyAlignment="1">
      <alignment horizontal="center" vertical="center"/>
    </xf>
    <xf numFmtId="4" fontId="0" fillId="0" borderId="5" xfId="0" applyNumberFormat="1" applyBorder="1" applyAlignment="1">
      <alignment horizontal="center" vertical="center"/>
    </xf>
    <xf numFmtId="0" fontId="1" fillId="2" borderId="6" xfId="0" applyFont="1" applyFill="1" applyBorder="1" applyAlignment="1">
      <alignment horizontal="center" vertical="center"/>
    </xf>
    <xf numFmtId="4" fontId="0" fillId="0" borderId="7" xfId="0" applyNumberFormat="1" applyBorder="1" applyAlignment="1">
      <alignment horizontal="center" vertical="center"/>
    </xf>
    <xf numFmtId="0" fontId="1" fillId="2" borderId="8"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left" vertical="center" wrapText="1"/>
    </xf>
  </cellXfs>
  <cellStyles count="2">
    <cellStyle name="Hyperlink" xfId="1" builtinId="8"/>
    <cellStyle name="Normal" xfId="0" builtinId="0"/>
  </cellStyles>
  <dxfs count="129">
    <dxf>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protection locked="1" hidden="0"/>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numFmt numFmtId="164" formatCode="yyyy\-mm\-dd\ hh:mm:ss"/>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numFmt numFmtId="14" formatCode="0.00%"/>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4"/>
        <color theme="1"/>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family val="2"/>
        <scheme val="minor"/>
      </font>
      <numFmt numFmtId="166" formatCode="[$-F800]dddd\,\ mmmm\ dd\,\ yyyy"/>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4"/>
        <color theme="1"/>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family val="2"/>
        <scheme val="minor"/>
      </font>
      <numFmt numFmtId="165" formatCode="&quot;₹&quot;#,##0.00"/>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numFmt numFmtId="165" formatCode="&quot;₹&quot;#,##0.00"/>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4"/>
        <color theme="1"/>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family val="2"/>
        <scheme val="minor"/>
      </font>
      <numFmt numFmtId="14" formatCode="0.00%"/>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4"/>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4"/>
        <name val="Calibri"/>
        <family val="2"/>
        <scheme val="minor"/>
      </font>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4"/>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auto="1"/>
        </left>
        <right style="thin">
          <color auto="1"/>
        </right>
        <top/>
        <bottom/>
      </border>
    </dxf>
    <dxf>
      <fill>
        <patternFill>
          <bgColor rgb="FFFFF2CC"/>
        </patternFill>
      </fill>
      <border>
        <left style="thin">
          <color auto="1"/>
        </left>
        <right style="thin">
          <color auto="1"/>
        </right>
        <top style="thin">
          <color auto="1"/>
        </top>
        <bottom style="thin">
          <color auto="1"/>
        </bottom>
        <vertical/>
        <horizontal/>
      </border>
    </dxf>
    <dxf>
      <font>
        <strike val="0"/>
        <outline val="0"/>
        <shadow val="0"/>
        <u val="none"/>
        <vertAlign val="baseline"/>
        <sz val="14"/>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dxf>
    <dxf>
      <font>
        <strike val="0"/>
        <outline val="0"/>
        <shadow val="0"/>
        <u val="none"/>
        <vertAlign val="baseline"/>
        <sz val="14"/>
        <name val="Calibri"/>
        <family val="2"/>
        <scheme val="minor"/>
      </font>
      <numFmt numFmtId="19" formatCode="dd/mm/yy"/>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4"/>
        <name val="Calibri"/>
        <family val="2"/>
        <scheme val="minor"/>
      </font>
      <numFmt numFmtId="14" formatCode="0.00%"/>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4"/>
        <name val="Calibri"/>
        <family val="2"/>
        <scheme val="minor"/>
      </font>
      <numFmt numFmtId="2" formatCode="0.00"/>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4"/>
        <name val="Calibri"/>
        <family val="2"/>
        <scheme val="minor"/>
      </font>
      <numFmt numFmtId="165" formatCode="&quot;₹&quot;#,##0.00"/>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4"/>
        <name val="Calibri"/>
        <family val="2"/>
        <scheme val="minor"/>
      </font>
      <numFmt numFmtId="0" formatCode="Genera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4"/>
        <name val="Calibri"/>
        <family val="2"/>
        <scheme val="minor"/>
      </font>
      <numFmt numFmtId="0" formatCode="Genera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4"/>
        <name val="Calibri"/>
        <family val="2"/>
        <scheme val="minor"/>
      </font>
      <numFmt numFmtId="0" formatCode="Genera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4"/>
        <name val="Calibri"/>
        <family val="2"/>
        <scheme val="minor"/>
      </font>
      <numFmt numFmtId="0" formatCode="General"/>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outline="0">
        <top style="thin">
          <color auto="1"/>
        </top>
      </border>
    </dxf>
    <dxf>
      <font>
        <strike val="0"/>
        <outline val="0"/>
        <shadow val="0"/>
        <u val="none"/>
        <vertAlign val="baseline"/>
        <sz val="14"/>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B3D91"/>
        <name val="Calibri"/>
        <family val="2"/>
        <scheme val="minor"/>
      </font>
      <fill>
        <patternFill patternType="solid">
          <fgColor indexed="64"/>
          <bgColor rgb="FFE9EEF8"/>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Product category preference among top customers</a:t>
            </a:r>
          </a:p>
        </c:rich>
      </c:tx>
      <c:overlay val="0"/>
    </c:title>
    <c:autoTitleDeleted val="0"/>
    <c:plotArea>
      <c:layout/>
      <c:pieChart>
        <c:varyColors val="1"/>
        <c:ser>
          <c:idx val="0"/>
          <c:order val="0"/>
          <c:tx>
            <c:strRef>
              <c:f>'[1]Regional Leaders and Category P'!$B$27</c:f>
              <c:strCache>
                <c:ptCount val="1"/>
                <c:pt idx="0">
                  <c:v>Purchase_Count</c:v>
                </c:pt>
              </c:strCache>
            </c:strRef>
          </c:tx>
          <c:spPr>
            <a:noFill/>
            <a:ln w="9525" cap="flat">
              <a:solidFill>
                <a:srgbClr val="F9F9F9"/>
              </a:solidFill>
              <a:prstDash val="solid"/>
              <a:round/>
            </a:ln>
            <a:effectLst/>
          </c:spPr>
          <c:dPt>
            <c:idx val="0"/>
            <c:bubble3D val="0"/>
            <c:spPr>
              <a:solidFill>
                <a:srgbClr val="4765FF"/>
              </a:solidFill>
              <a:ln w="9525" cap="flat">
                <a:solidFill>
                  <a:srgbClr val="FFFFFF"/>
                </a:solidFill>
                <a:prstDash val="solid"/>
                <a:round/>
              </a:ln>
              <a:effectLst/>
            </c:spPr>
            <c:extLst>
              <c:ext xmlns:c16="http://schemas.microsoft.com/office/drawing/2014/chart" uri="{C3380CC4-5D6E-409C-BE32-E72D297353CC}">
                <c16:uniqueId val="{00000001-8973-504B-803B-40BB6CD818DB}"/>
              </c:ext>
            </c:extLst>
          </c:dPt>
          <c:dPt>
            <c:idx val="1"/>
            <c:bubble3D val="0"/>
            <c:spPr>
              <a:solidFill>
                <a:srgbClr val="6982FF"/>
              </a:solidFill>
              <a:ln w="9525" cap="flat">
                <a:solidFill>
                  <a:srgbClr val="FFFFFF"/>
                </a:solidFill>
                <a:prstDash val="solid"/>
                <a:round/>
              </a:ln>
              <a:effectLst/>
            </c:spPr>
            <c:extLst>
              <c:ext xmlns:c16="http://schemas.microsoft.com/office/drawing/2014/chart" uri="{C3380CC4-5D6E-409C-BE32-E72D297353CC}">
                <c16:uniqueId val="{00000003-8973-504B-803B-40BB6CD818DB}"/>
              </c:ext>
            </c:extLst>
          </c:dPt>
          <c:dPt>
            <c:idx val="2"/>
            <c:bubble3D val="0"/>
            <c:spPr>
              <a:solidFill>
                <a:srgbClr val="8BA2FF"/>
              </a:solidFill>
              <a:ln w="9525" cap="flat">
                <a:solidFill>
                  <a:srgbClr val="FFFFFF"/>
                </a:solidFill>
                <a:prstDash val="solid"/>
                <a:round/>
              </a:ln>
              <a:effectLst/>
            </c:spPr>
            <c:extLst>
              <c:ext xmlns:c16="http://schemas.microsoft.com/office/drawing/2014/chart" uri="{C3380CC4-5D6E-409C-BE32-E72D297353CC}">
                <c16:uniqueId val="{00000005-8973-504B-803B-40BB6CD818DB}"/>
              </c:ext>
            </c:extLst>
          </c:dPt>
          <c:dPt>
            <c:idx val="3"/>
            <c:bubble3D val="0"/>
            <c:spPr>
              <a:solidFill>
                <a:srgbClr val="ADC6FF"/>
              </a:solidFill>
              <a:ln w="9525" cap="flat">
                <a:solidFill>
                  <a:srgbClr val="FFFFFF"/>
                </a:solidFill>
                <a:prstDash val="solid"/>
                <a:round/>
              </a:ln>
              <a:effectLst/>
            </c:spPr>
            <c:extLst>
              <c:ext xmlns:c16="http://schemas.microsoft.com/office/drawing/2014/chart" uri="{C3380CC4-5D6E-409C-BE32-E72D297353CC}">
                <c16:uniqueId val="{00000007-8973-504B-803B-40BB6CD818DB}"/>
              </c:ext>
            </c:extLst>
          </c:dPt>
          <c:dPt>
            <c:idx val="4"/>
            <c:bubble3D val="0"/>
            <c:spPr>
              <a:solidFill>
                <a:srgbClr val="D6E4FF"/>
              </a:solidFill>
              <a:ln w="9525" cap="flat">
                <a:solidFill>
                  <a:srgbClr val="FFFFFF"/>
                </a:solidFill>
                <a:prstDash val="solid"/>
                <a:round/>
              </a:ln>
              <a:effectLst/>
            </c:spPr>
            <c:extLst>
              <c:ext xmlns:c16="http://schemas.microsoft.com/office/drawing/2014/chart" uri="{C3380CC4-5D6E-409C-BE32-E72D297353CC}">
                <c16:uniqueId val="{00000009-8973-504B-803B-40BB6CD818DB}"/>
              </c:ext>
            </c:extLst>
          </c:dPt>
          <c:dLbls>
            <c:dLbl>
              <c:idx val="0"/>
              <c:numFmt formatCode="General" sourceLinked="0"/>
              <c:spPr/>
              <c:txPr>
                <a:bodyPr/>
                <a:lstStyle/>
                <a:p>
                  <a:pPr>
                    <a:defRPr sz="800" b="0" i="0" u="none" strike="noStrike">
                      <a:solidFill>
                        <a:srgbClr val="000000"/>
                      </a:solidFill>
                      <a:latin typeface="Arial"/>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73-504B-803B-40BB6CD818DB}"/>
                </c:ext>
              </c:extLst>
            </c:dLbl>
            <c:dLbl>
              <c:idx val="1"/>
              <c:numFmt formatCode="General" sourceLinked="0"/>
              <c:spPr/>
              <c:txPr>
                <a:bodyPr/>
                <a:lstStyle/>
                <a:p>
                  <a:pPr>
                    <a:defRPr sz="800" b="0" i="0" u="none" strike="noStrike">
                      <a:solidFill>
                        <a:srgbClr val="000000"/>
                      </a:solidFill>
                      <a:latin typeface="Arial"/>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73-504B-803B-40BB6CD818DB}"/>
                </c:ext>
              </c:extLst>
            </c:dLbl>
            <c:dLbl>
              <c:idx val="2"/>
              <c:numFmt formatCode="General" sourceLinked="0"/>
              <c:spPr/>
              <c:txPr>
                <a:bodyPr/>
                <a:lstStyle/>
                <a:p>
                  <a:pPr>
                    <a:defRPr sz="800" b="0" i="0" u="none" strike="noStrike">
                      <a:solidFill>
                        <a:srgbClr val="000000"/>
                      </a:solidFill>
                      <a:latin typeface="Arial"/>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973-504B-803B-40BB6CD818DB}"/>
                </c:ext>
              </c:extLst>
            </c:dLbl>
            <c:dLbl>
              <c:idx val="3"/>
              <c:numFmt formatCode="General" sourceLinked="0"/>
              <c:spPr/>
              <c:txPr>
                <a:bodyPr/>
                <a:lstStyle/>
                <a:p>
                  <a:pPr>
                    <a:defRPr sz="800" b="0" i="0" u="none" strike="noStrike">
                      <a:solidFill>
                        <a:srgbClr val="000000"/>
                      </a:solidFill>
                      <a:latin typeface="Arial"/>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973-504B-803B-40BB6CD818DB}"/>
                </c:ext>
              </c:extLst>
            </c:dLbl>
            <c:dLbl>
              <c:idx val="4"/>
              <c:numFmt formatCode="General" sourceLinked="0"/>
              <c:spPr/>
              <c:txPr>
                <a:bodyPr/>
                <a:lstStyle/>
                <a:p>
                  <a:pPr>
                    <a:defRPr sz="800" b="0" i="0" u="none" strike="noStrike">
                      <a:solidFill>
                        <a:srgbClr val="000000"/>
                      </a:solidFill>
                      <a:latin typeface="Arial"/>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973-504B-803B-40BB6CD818DB}"/>
                </c:ext>
              </c:extLst>
            </c:dLbl>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'[1]Regional Leaders and Category P'!$A$28:$A$32</c:f>
              <c:strCache>
                <c:ptCount val="5"/>
                <c:pt idx="0">
                  <c:v>Books</c:v>
                </c:pt>
                <c:pt idx="1">
                  <c:v>Clothing</c:v>
                </c:pt>
                <c:pt idx="2">
                  <c:v>Electronics</c:v>
                </c:pt>
                <c:pt idx="3">
                  <c:v>Furniture</c:v>
                </c:pt>
                <c:pt idx="4">
                  <c:v>Office Supplies</c:v>
                </c:pt>
              </c:strCache>
            </c:strRef>
          </c:cat>
          <c:val>
            <c:numRef>
              <c:f>'[1]Regional Leaders and Category P'!$B$28:$B$32</c:f>
              <c:numCache>
                <c:formatCode>General</c:formatCode>
                <c:ptCount val="5"/>
                <c:pt idx="0">
                  <c:v>20</c:v>
                </c:pt>
                <c:pt idx="1">
                  <c:v>20</c:v>
                </c:pt>
                <c:pt idx="2">
                  <c:v>20</c:v>
                </c:pt>
                <c:pt idx="3">
                  <c:v>17</c:v>
                </c:pt>
                <c:pt idx="4">
                  <c:v>17</c:v>
                </c:pt>
              </c:numCache>
            </c:numRef>
          </c:val>
          <c:extLst>
            <c:ext xmlns:c16="http://schemas.microsoft.com/office/drawing/2014/chart" uri="{C3380CC4-5D6E-409C-BE32-E72D297353CC}">
              <c16:uniqueId val="{0000000A-8973-504B-803B-40BB6CD818DB}"/>
            </c:ext>
          </c:extLst>
        </c:ser>
        <c:dLbls>
          <c:showLegendKey val="0"/>
          <c:showVal val="0"/>
          <c:showCatName val="0"/>
          <c:showSerName val="0"/>
          <c:showPercent val="0"/>
          <c:showBubbleSize val="0"/>
          <c:showLeaderLines val="1"/>
        </c:dLbls>
        <c:firstSliceAng val="0"/>
      </c:pie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Total purchase by top customers segmented by region</a:t>
            </a:r>
          </a:p>
        </c:rich>
      </c:tx>
      <c:overlay val="0"/>
    </c:title>
    <c:autoTitleDeleted val="0"/>
    <c:plotArea>
      <c:layout/>
      <c:barChart>
        <c:barDir val="col"/>
        <c:grouping val="stacked"/>
        <c:varyColors val="0"/>
        <c:ser>
          <c:idx val="0"/>
          <c:order val="0"/>
          <c:tx>
            <c:v>CUST003</c:v>
          </c:tx>
          <c:spPr>
            <a:solidFill>
              <a:srgbClr val="4765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P'!$B$10:$B$14</c:f>
              <c:numCache>
                <c:formatCode>General</c:formatCode>
                <c:ptCount val="5"/>
                <c:pt idx="0">
                  <c:v>902.19</c:v>
                </c:pt>
                <c:pt idx="1">
                  <c:v>2040.15</c:v>
                </c:pt>
                <c:pt idx="2">
                  <c:v>438.76</c:v>
                </c:pt>
                <c:pt idx="3">
                  <c:v>2944.61</c:v>
                </c:pt>
                <c:pt idx="4">
                  <c:v>2164.4699999999998</c:v>
                </c:pt>
              </c:numCache>
            </c:numRef>
          </c:val>
          <c:extLst>
            <c:ext xmlns:c16="http://schemas.microsoft.com/office/drawing/2014/chart" uri="{C3380CC4-5D6E-409C-BE32-E72D297353CC}">
              <c16:uniqueId val="{00000000-EC3D-B64A-B4D8-CA902BEF44C6}"/>
            </c:ext>
          </c:extLst>
        </c:ser>
        <c:ser>
          <c:idx val="1"/>
          <c:order val="1"/>
          <c:tx>
            <c:v>CUST004</c:v>
          </c:tx>
          <c:spPr>
            <a:solidFill>
              <a:srgbClr val="698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P'!$C$10:$C$14</c:f>
              <c:numCache>
                <c:formatCode>General</c:formatCode>
                <c:ptCount val="5"/>
                <c:pt idx="0">
                  <c:v>1277.8499999999999</c:v>
                </c:pt>
                <c:pt idx="1">
                  <c:v>573.32000000000005</c:v>
                </c:pt>
                <c:pt idx="2">
                  <c:v>2410.9499999999998</c:v>
                </c:pt>
                <c:pt idx="3">
                  <c:v>2107.4899999999998</c:v>
                </c:pt>
                <c:pt idx="4">
                  <c:v>1443.98</c:v>
                </c:pt>
              </c:numCache>
            </c:numRef>
          </c:val>
          <c:extLst>
            <c:ext xmlns:c16="http://schemas.microsoft.com/office/drawing/2014/chart" uri="{C3380CC4-5D6E-409C-BE32-E72D297353CC}">
              <c16:uniqueId val="{00000001-EC3D-B64A-B4D8-CA902BEF44C6}"/>
            </c:ext>
          </c:extLst>
        </c:ser>
        <c:ser>
          <c:idx val="2"/>
          <c:order val="2"/>
          <c:tx>
            <c:v>CUST007</c:v>
          </c:tx>
          <c:spPr>
            <a:solidFill>
              <a:srgbClr val="8BA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P'!$D$10:$D$14</c:f>
              <c:numCache>
                <c:formatCode>General</c:formatCode>
                <c:ptCount val="5"/>
                <c:pt idx="0">
                  <c:v>2130.67</c:v>
                </c:pt>
                <c:pt idx="1">
                  <c:v>2736.91</c:v>
                </c:pt>
                <c:pt idx="3">
                  <c:v>2479.2600000000002</c:v>
                </c:pt>
                <c:pt idx="4">
                  <c:v>2595.04</c:v>
                </c:pt>
              </c:numCache>
            </c:numRef>
          </c:val>
          <c:extLst>
            <c:ext xmlns:c16="http://schemas.microsoft.com/office/drawing/2014/chart" uri="{C3380CC4-5D6E-409C-BE32-E72D297353CC}">
              <c16:uniqueId val="{00000002-EC3D-B64A-B4D8-CA902BEF44C6}"/>
            </c:ext>
          </c:extLst>
        </c:ser>
        <c:ser>
          <c:idx val="3"/>
          <c:order val="3"/>
          <c:tx>
            <c:v>CUST008</c:v>
          </c:tx>
          <c:spPr>
            <a:solidFill>
              <a:srgbClr val="ADC6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P'!$E$10:$E$14</c:f>
              <c:numCache>
                <c:formatCode>General</c:formatCode>
                <c:ptCount val="5"/>
                <c:pt idx="0">
                  <c:v>4919.03</c:v>
                </c:pt>
                <c:pt idx="1">
                  <c:v>1653.03</c:v>
                </c:pt>
                <c:pt idx="2">
                  <c:v>3188.74</c:v>
                </c:pt>
              </c:numCache>
            </c:numRef>
          </c:val>
          <c:extLst>
            <c:ext xmlns:c16="http://schemas.microsoft.com/office/drawing/2014/chart" uri="{C3380CC4-5D6E-409C-BE32-E72D297353CC}">
              <c16:uniqueId val="{00000003-EC3D-B64A-B4D8-CA902BEF44C6}"/>
            </c:ext>
          </c:extLst>
        </c:ser>
        <c:ser>
          <c:idx val="4"/>
          <c:order val="4"/>
          <c:tx>
            <c:v>CUST012</c:v>
          </c:tx>
          <c:spPr>
            <a:solidFill>
              <a:srgbClr val="D6E4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P'!$F$10:$F$14</c:f>
              <c:numCache>
                <c:formatCode>General</c:formatCode>
                <c:ptCount val="5"/>
                <c:pt idx="0">
                  <c:v>925.31</c:v>
                </c:pt>
                <c:pt idx="1">
                  <c:v>804.45</c:v>
                </c:pt>
                <c:pt idx="3">
                  <c:v>1771.13</c:v>
                </c:pt>
                <c:pt idx="4">
                  <c:v>4838.1099999999997</c:v>
                </c:pt>
              </c:numCache>
            </c:numRef>
          </c:val>
          <c:extLst>
            <c:ext xmlns:c16="http://schemas.microsoft.com/office/drawing/2014/chart" uri="{C3380CC4-5D6E-409C-BE32-E72D297353CC}">
              <c16:uniqueId val="{00000004-EC3D-B64A-B4D8-CA902BEF44C6}"/>
            </c:ext>
          </c:extLst>
        </c:ser>
        <c:ser>
          <c:idx val="5"/>
          <c:order val="5"/>
          <c:tx>
            <c:v>CUST015</c:v>
          </c:tx>
          <c:spPr>
            <a:solidFill>
              <a:srgbClr val="F0F5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P'!$G$10:$G$14</c:f>
              <c:numCache>
                <c:formatCode>General</c:formatCode>
                <c:ptCount val="5"/>
                <c:pt idx="0">
                  <c:v>511.74</c:v>
                </c:pt>
                <c:pt idx="1">
                  <c:v>2281.1799999999998</c:v>
                </c:pt>
                <c:pt idx="2">
                  <c:v>1098.08</c:v>
                </c:pt>
                <c:pt idx="3">
                  <c:v>2882.11</c:v>
                </c:pt>
                <c:pt idx="4">
                  <c:v>4837.95</c:v>
                </c:pt>
              </c:numCache>
            </c:numRef>
          </c:val>
          <c:extLst>
            <c:ext xmlns:c16="http://schemas.microsoft.com/office/drawing/2014/chart" uri="{C3380CC4-5D6E-409C-BE32-E72D297353CC}">
              <c16:uniqueId val="{00000005-EC3D-B64A-B4D8-CA902BEF44C6}"/>
            </c:ext>
          </c:extLst>
        </c:ser>
        <c:ser>
          <c:idx val="6"/>
          <c:order val="6"/>
          <c:tx>
            <c:v>CUST021</c:v>
          </c:tx>
          <c:spPr>
            <a:solidFill>
              <a:srgbClr val="4765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P'!$H$10:$H$14</c:f>
              <c:numCache>
                <c:formatCode>General</c:formatCode>
                <c:ptCount val="5"/>
                <c:pt idx="0">
                  <c:v>1991.13</c:v>
                </c:pt>
                <c:pt idx="1">
                  <c:v>967.89</c:v>
                </c:pt>
                <c:pt idx="2">
                  <c:v>2570.15</c:v>
                </c:pt>
                <c:pt idx="3">
                  <c:v>2226.08</c:v>
                </c:pt>
                <c:pt idx="4">
                  <c:v>984.93</c:v>
                </c:pt>
              </c:numCache>
            </c:numRef>
          </c:val>
          <c:extLst>
            <c:ext xmlns:c16="http://schemas.microsoft.com/office/drawing/2014/chart" uri="{C3380CC4-5D6E-409C-BE32-E72D297353CC}">
              <c16:uniqueId val="{00000006-EC3D-B64A-B4D8-CA902BEF44C6}"/>
            </c:ext>
          </c:extLst>
        </c:ser>
        <c:ser>
          <c:idx val="7"/>
          <c:order val="7"/>
          <c:tx>
            <c:v>CUST026</c:v>
          </c:tx>
          <c:spPr>
            <a:solidFill>
              <a:srgbClr val="698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P'!$I$10:$I$14</c:f>
              <c:numCache>
                <c:formatCode>General</c:formatCode>
                <c:ptCount val="5"/>
                <c:pt idx="0">
                  <c:v>645.02</c:v>
                </c:pt>
                <c:pt idx="2">
                  <c:v>3239.44</c:v>
                </c:pt>
                <c:pt idx="3">
                  <c:v>2184.54</c:v>
                </c:pt>
                <c:pt idx="4">
                  <c:v>3302.81</c:v>
                </c:pt>
              </c:numCache>
            </c:numRef>
          </c:val>
          <c:extLst>
            <c:ext xmlns:c16="http://schemas.microsoft.com/office/drawing/2014/chart" uri="{C3380CC4-5D6E-409C-BE32-E72D297353CC}">
              <c16:uniqueId val="{00000007-EC3D-B64A-B4D8-CA902BEF44C6}"/>
            </c:ext>
          </c:extLst>
        </c:ser>
        <c:ser>
          <c:idx val="8"/>
          <c:order val="8"/>
          <c:tx>
            <c:v>CUST028</c:v>
          </c:tx>
          <c:spPr>
            <a:solidFill>
              <a:srgbClr val="8BA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P'!$J$10:$J$14</c:f>
              <c:numCache>
                <c:formatCode>General</c:formatCode>
                <c:ptCount val="5"/>
                <c:pt idx="0">
                  <c:v>3971.17</c:v>
                </c:pt>
                <c:pt idx="1">
                  <c:v>2705.02</c:v>
                </c:pt>
                <c:pt idx="2">
                  <c:v>983.34</c:v>
                </c:pt>
                <c:pt idx="3">
                  <c:v>1519.12</c:v>
                </c:pt>
                <c:pt idx="4">
                  <c:v>1115.22</c:v>
                </c:pt>
              </c:numCache>
            </c:numRef>
          </c:val>
          <c:extLst>
            <c:ext xmlns:c16="http://schemas.microsoft.com/office/drawing/2014/chart" uri="{C3380CC4-5D6E-409C-BE32-E72D297353CC}">
              <c16:uniqueId val="{00000008-EC3D-B64A-B4D8-CA902BEF44C6}"/>
            </c:ext>
          </c:extLst>
        </c:ser>
        <c:ser>
          <c:idx val="9"/>
          <c:order val="9"/>
          <c:tx>
            <c:v>CUST030</c:v>
          </c:tx>
          <c:spPr>
            <a:solidFill>
              <a:srgbClr val="ADC6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Leaders and Category P'!$A$10:$A$14</c:f>
              <c:strCache>
                <c:ptCount val="5"/>
                <c:pt idx="0">
                  <c:v>Central</c:v>
                </c:pt>
                <c:pt idx="1">
                  <c:v>South</c:v>
                </c:pt>
                <c:pt idx="2">
                  <c:v>East</c:v>
                </c:pt>
                <c:pt idx="3">
                  <c:v>North</c:v>
                </c:pt>
                <c:pt idx="4">
                  <c:v>West</c:v>
                </c:pt>
              </c:strCache>
            </c:strRef>
          </c:cat>
          <c:val>
            <c:numRef>
              <c:f>'[1]Regional Leaders and Category P'!$K$10:$K$14</c:f>
              <c:numCache>
                <c:formatCode>General</c:formatCode>
                <c:ptCount val="5"/>
                <c:pt idx="0">
                  <c:v>1581.92</c:v>
                </c:pt>
                <c:pt idx="1">
                  <c:v>1086.93</c:v>
                </c:pt>
                <c:pt idx="2">
                  <c:v>2401.4499999999998</c:v>
                </c:pt>
                <c:pt idx="3">
                  <c:v>2273.25</c:v>
                </c:pt>
                <c:pt idx="4">
                  <c:v>585.16</c:v>
                </c:pt>
              </c:numCache>
            </c:numRef>
          </c:val>
          <c:extLst>
            <c:ext xmlns:c16="http://schemas.microsoft.com/office/drawing/2014/chart" uri="{C3380CC4-5D6E-409C-BE32-E72D297353CC}">
              <c16:uniqueId val="{00000009-EC3D-B64A-B4D8-CA902BEF44C6}"/>
            </c:ext>
          </c:extLst>
        </c:ser>
        <c:dLbls>
          <c:showLegendKey val="0"/>
          <c:showVal val="0"/>
          <c:showCatName val="0"/>
          <c:showSerName val="0"/>
          <c:showPercent val="0"/>
          <c:showBubbleSize val="0"/>
        </c:dLbls>
        <c:gapWidth val="150"/>
        <c:overlap val="100"/>
        <c:axId val="123456"/>
        <c:axId val="654321"/>
      </c:barChart>
      <c:catAx>
        <c:axId val="123456"/>
        <c:scaling>
          <c:orientation val="minMax"/>
        </c:scaling>
        <c:delete val="0"/>
        <c:axPos val="b"/>
        <c:numFmt formatCode="General" sourceLinked="1"/>
        <c:majorTickMark val="none"/>
        <c:minorTickMark val="none"/>
        <c:tickLblPos val="low"/>
        <c:spPr>
          <a:ln w="6350" cap="flat">
            <a:solidFill>
              <a:srgbClr val="D1D5DB"/>
            </a:solidFill>
            <a:prstDash val="dash"/>
          </a:ln>
        </c:spPr>
        <c:txPr>
          <a:bodyPr rot="0" vert="horz"/>
          <a:lstStyle/>
          <a:p>
            <a:pPr>
              <a:defRPr sz="800" b="0" i="0" u="none" strike="noStrike">
                <a:solidFill>
                  <a:srgbClr val="000000"/>
                </a:solidFill>
                <a:latin typeface="Arial"/>
              </a:defRPr>
            </a:pPr>
            <a:endParaRPr lang="en-US"/>
          </a:p>
        </c:txPr>
        <c:crossAx val="654321"/>
        <c:crosses val="autoZero"/>
        <c:auto val="1"/>
        <c:lblAlgn val="ctr"/>
        <c:lblOffset val="100"/>
        <c:noMultiLvlLbl val="1"/>
      </c:catAx>
      <c:valAx>
        <c:axId val="654321"/>
        <c:scaling>
          <c:orientation val="minMax"/>
          <c:max val="30000"/>
          <c:min val="0"/>
        </c:scaling>
        <c:delete val="0"/>
        <c:axPos val="l"/>
        <c:majorGridlines>
          <c:spPr>
            <a:ln w="6350" cap="flat">
              <a:solidFill>
                <a:srgbClr val="D1D5DB"/>
              </a:solidFill>
              <a:prstDash val="dash"/>
            </a:ln>
          </c:spPr>
        </c:majorGridlines>
        <c:numFmt formatCode="0.00" sourceLinked="0"/>
        <c:majorTickMark val="none"/>
        <c:minorTickMark val="none"/>
        <c:tickLblPos val="nextTo"/>
        <c:spPr>
          <a:ln w="6350" cap="flat">
            <a:solidFill>
              <a:srgbClr val="D1D5DB"/>
            </a:solidFill>
            <a:prstDash val="dash"/>
          </a:ln>
        </c:spPr>
        <c:txPr>
          <a:bodyPr rot="0" vert="horz"/>
          <a:lstStyle/>
          <a:p>
            <a:pPr>
              <a:defRPr sz="900" b="0" i="0" u="none" strike="noStrike">
                <a:solidFill>
                  <a:srgbClr val="000000"/>
                </a:solidFill>
                <a:latin typeface="Arial"/>
              </a:defRPr>
            </a:pPr>
            <a:endParaRPr lang="en-US"/>
          </a:p>
        </c:txPr>
        <c:crossAx val="123456"/>
        <c:crosses val="autoZero"/>
        <c:crossBetween val="between"/>
        <c:majorUnit val="10000"/>
        <c:dispUnits>
          <c:builtInUnit val="thousands"/>
          <c:dispUnitsLbl>
            <c:tx>
              <c:rich>
                <a:bodyPr rot="0" vert="horz"/>
                <a:lstStyle/>
                <a:p>
                  <a:r>
                    <a:rPr lang="en-US" sz="1000">
                      <a:solidFill>
                        <a:srgbClr val="000000"/>
                      </a:solidFill>
                      <a:latin typeface="Arial"/>
                    </a:rPr>
                    <a:t>K</a:t>
                  </a:r>
                </a:p>
              </c:rich>
            </c:tx>
          </c:dispUnitsLbl>
        </c:dispUnits>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Total purchase comparison among top 3 high-value customers</a:t>
            </a:r>
          </a:p>
        </c:rich>
      </c:tx>
      <c:overlay val="0"/>
    </c:title>
    <c:autoTitleDeleted val="0"/>
    <c:plotArea>
      <c:layout/>
      <c:barChart>
        <c:barDir val="bar"/>
        <c:grouping val="stacked"/>
        <c:varyColors val="0"/>
        <c:ser>
          <c:idx val="0"/>
          <c:order val="0"/>
          <c:tx>
            <c:v>Total_Purchase</c:v>
          </c:tx>
          <c:spPr>
            <a:solidFill>
              <a:srgbClr val="4765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'[1]Strategic Insights into Top Cus'!$A$10:$A$12</c:f>
              <c:strCache>
                <c:ptCount val="3"/>
                <c:pt idx="0">
                  <c:v>CUST015</c:v>
                </c:pt>
                <c:pt idx="1">
                  <c:v>CUST028</c:v>
                </c:pt>
                <c:pt idx="2">
                  <c:v>CUST007</c:v>
                </c:pt>
              </c:strCache>
            </c:strRef>
          </c:cat>
          <c:val>
            <c:numRef>
              <c:f>'[1]Strategic Insights into Top Cus'!$B$10:$B$12</c:f>
              <c:numCache>
                <c:formatCode>General</c:formatCode>
                <c:ptCount val="3"/>
                <c:pt idx="0">
                  <c:v>11611.06</c:v>
                </c:pt>
                <c:pt idx="1">
                  <c:v>10293.870000000001</c:v>
                </c:pt>
                <c:pt idx="2">
                  <c:v>9941.8799999999992</c:v>
                </c:pt>
              </c:numCache>
            </c:numRef>
          </c:val>
          <c:extLst>
            <c:ext xmlns:c16="http://schemas.microsoft.com/office/drawing/2014/chart" uri="{C3380CC4-5D6E-409C-BE32-E72D297353CC}">
              <c16:uniqueId val="{00000000-96DC-904C-BB5F-B938F81622CB}"/>
            </c:ext>
          </c:extLst>
        </c:ser>
        <c:dLbls>
          <c:showLegendKey val="0"/>
          <c:showVal val="0"/>
          <c:showCatName val="0"/>
          <c:showSerName val="0"/>
          <c:showPercent val="0"/>
          <c:showBubbleSize val="0"/>
        </c:dLbls>
        <c:gapWidth val="150"/>
        <c:overlap val="100"/>
        <c:axId val="123456"/>
        <c:axId val="654321"/>
      </c:barChart>
      <c:catAx>
        <c:axId val="123456"/>
        <c:scaling>
          <c:orientation val="minMax"/>
        </c:scaling>
        <c:delete val="0"/>
        <c:axPos val="l"/>
        <c:numFmt formatCode="General" sourceLinked="1"/>
        <c:majorTickMark val="none"/>
        <c:minorTickMark val="none"/>
        <c:tickLblPos val="low"/>
        <c:spPr>
          <a:ln w="6350" cap="flat">
            <a:solidFill>
              <a:srgbClr val="D1D5DB"/>
            </a:solidFill>
            <a:prstDash val="dash"/>
          </a:ln>
        </c:spPr>
        <c:txPr>
          <a:bodyPr rot="0" vert="horz"/>
          <a:lstStyle/>
          <a:p>
            <a:pPr>
              <a:defRPr sz="800" b="0" i="0" u="none" strike="noStrike">
                <a:solidFill>
                  <a:srgbClr val="000000"/>
                </a:solidFill>
                <a:latin typeface="Arial"/>
              </a:defRPr>
            </a:pPr>
            <a:endParaRPr lang="en-US"/>
          </a:p>
        </c:txPr>
        <c:crossAx val="654321"/>
        <c:crosses val="autoZero"/>
        <c:auto val="1"/>
        <c:lblAlgn val="ctr"/>
        <c:lblOffset val="100"/>
        <c:noMultiLvlLbl val="1"/>
      </c:catAx>
      <c:valAx>
        <c:axId val="654321"/>
        <c:scaling>
          <c:orientation val="minMax"/>
          <c:max val="15000"/>
          <c:min val="0"/>
        </c:scaling>
        <c:delete val="0"/>
        <c:axPos val="b"/>
        <c:majorGridlines>
          <c:spPr>
            <a:ln w="6350" cap="flat">
              <a:solidFill>
                <a:srgbClr val="D1D5DB"/>
              </a:solidFill>
              <a:prstDash val="dash"/>
            </a:ln>
          </c:spPr>
        </c:majorGridlines>
        <c:numFmt formatCode="0.00" sourceLinked="0"/>
        <c:majorTickMark val="none"/>
        <c:minorTickMark val="none"/>
        <c:tickLblPos val="nextTo"/>
        <c:spPr>
          <a:ln w="6350" cap="flat">
            <a:solidFill>
              <a:srgbClr val="D1D5DB"/>
            </a:solidFill>
            <a:prstDash val="dash"/>
          </a:ln>
        </c:spPr>
        <c:txPr>
          <a:bodyPr rot="0" vert="horz"/>
          <a:lstStyle/>
          <a:p>
            <a:pPr>
              <a:defRPr sz="900" b="0" i="0" u="none" strike="noStrike">
                <a:solidFill>
                  <a:srgbClr val="000000"/>
                </a:solidFill>
                <a:latin typeface="Arial"/>
              </a:defRPr>
            </a:pPr>
            <a:endParaRPr lang="en-US"/>
          </a:p>
        </c:txPr>
        <c:crossAx val="123456"/>
        <c:crosses val="autoZero"/>
        <c:crossBetween val="between"/>
        <c:majorUnit val="5000"/>
        <c:dispUnits>
          <c:builtInUnit val="thousands"/>
          <c:dispUnitsLbl>
            <c:tx>
              <c:rich>
                <a:bodyPr rot="0" vert="horz"/>
                <a:lstStyle/>
                <a:p>
                  <a:r>
                    <a:rPr lang="en-US" sz="1000">
                      <a:solidFill>
                        <a:srgbClr val="000000"/>
                      </a:solidFill>
                      <a:latin typeface="Arial"/>
                    </a:rPr>
                    <a:t>K</a:t>
                  </a:r>
                </a:p>
              </c:rich>
            </c:tx>
          </c:dispUnitsLbl>
        </c:dispUnits>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Purchase share of top 3 customers versus other top 10 customers</a:t>
            </a:r>
          </a:p>
        </c:rich>
      </c:tx>
      <c:overlay val="0"/>
    </c:title>
    <c:autoTitleDeleted val="0"/>
    <c:plotArea>
      <c:layout/>
      <c:pieChart>
        <c:varyColors val="1"/>
        <c:ser>
          <c:idx val="0"/>
          <c:order val="0"/>
          <c:tx>
            <c:strRef>
              <c:f>'[1]Strategic Insights into Top Cus'!$B$27</c:f>
              <c:strCache>
                <c:ptCount val="1"/>
                <c:pt idx="0">
                  <c:v>Total_Purchase</c:v>
                </c:pt>
              </c:strCache>
            </c:strRef>
          </c:tx>
          <c:spPr>
            <a:noFill/>
            <a:ln w="9525" cap="flat">
              <a:solidFill>
                <a:srgbClr val="F9F9F9"/>
              </a:solidFill>
              <a:prstDash val="solid"/>
              <a:round/>
            </a:ln>
            <a:effectLst/>
          </c:spPr>
          <c:dPt>
            <c:idx val="0"/>
            <c:bubble3D val="0"/>
            <c:spPr>
              <a:solidFill>
                <a:srgbClr val="4765FF"/>
              </a:solidFill>
              <a:ln w="9525" cap="flat">
                <a:solidFill>
                  <a:srgbClr val="FFFFFF"/>
                </a:solidFill>
                <a:prstDash val="solid"/>
                <a:round/>
              </a:ln>
              <a:effectLst/>
            </c:spPr>
            <c:extLst>
              <c:ext xmlns:c16="http://schemas.microsoft.com/office/drawing/2014/chart" uri="{C3380CC4-5D6E-409C-BE32-E72D297353CC}">
                <c16:uniqueId val="{00000001-1C6D-8848-AF39-F323A1708B69}"/>
              </c:ext>
            </c:extLst>
          </c:dPt>
          <c:dPt>
            <c:idx val="1"/>
            <c:bubble3D val="0"/>
            <c:spPr>
              <a:solidFill>
                <a:srgbClr val="6982FF"/>
              </a:solidFill>
              <a:ln w="9525" cap="flat">
                <a:solidFill>
                  <a:srgbClr val="FFFFFF"/>
                </a:solidFill>
                <a:prstDash val="solid"/>
                <a:round/>
              </a:ln>
              <a:effectLst/>
            </c:spPr>
            <c:extLst>
              <c:ext xmlns:c16="http://schemas.microsoft.com/office/drawing/2014/chart" uri="{C3380CC4-5D6E-409C-BE32-E72D297353CC}">
                <c16:uniqueId val="{00000003-1C6D-8848-AF39-F323A1708B69}"/>
              </c:ext>
            </c:extLst>
          </c:dPt>
          <c:dLbls>
            <c:dLbl>
              <c:idx val="0"/>
              <c:numFmt formatCode="General" sourceLinked="0"/>
              <c:spPr/>
              <c:txPr>
                <a:bodyPr/>
                <a:lstStyle/>
                <a:p>
                  <a:pPr>
                    <a:defRPr sz="800" b="0" i="0" u="none" strike="noStrike">
                      <a:solidFill>
                        <a:srgbClr val="000000"/>
                      </a:solidFill>
                      <a:latin typeface="Arial"/>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6D-8848-AF39-F323A1708B69}"/>
                </c:ext>
              </c:extLst>
            </c:dLbl>
            <c:dLbl>
              <c:idx val="1"/>
              <c:numFmt formatCode="General" sourceLinked="0"/>
              <c:spPr/>
              <c:txPr>
                <a:bodyPr/>
                <a:lstStyle/>
                <a:p>
                  <a:pPr>
                    <a:defRPr sz="800" b="0" i="0" u="none" strike="noStrike">
                      <a:solidFill>
                        <a:srgbClr val="000000"/>
                      </a:solidFill>
                      <a:latin typeface="Arial"/>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6D-8848-AF39-F323A1708B69}"/>
                </c:ext>
              </c:extLst>
            </c:dLbl>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'[1]Strategic Insights into Top Cus'!$A$28:$A$29</c:f>
              <c:strCache>
                <c:ptCount val="2"/>
                <c:pt idx="0">
                  <c:v>Other Top 10 Customers</c:v>
                </c:pt>
                <c:pt idx="1">
                  <c:v>Top 3 Customers</c:v>
                </c:pt>
              </c:strCache>
            </c:strRef>
          </c:cat>
          <c:val>
            <c:numRef>
              <c:f>'[1]Strategic Insights into Top Cus'!$B$28:$B$29</c:f>
              <c:numCache>
                <c:formatCode>General</c:formatCode>
                <c:ptCount val="2"/>
                <c:pt idx="0">
                  <c:v>60444.27</c:v>
                </c:pt>
                <c:pt idx="1">
                  <c:v>31846.81</c:v>
                </c:pt>
              </c:numCache>
            </c:numRef>
          </c:val>
          <c:extLst>
            <c:ext xmlns:c16="http://schemas.microsoft.com/office/drawing/2014/chart" uri="{C3380CC4-5D6E-409C-BE32-E72D297353CC}">
              <c16:uniqueId val="{00000004-1C6D-8848-AF39-F323A1708B69}"/>
            </c:ext>
          </c:extLst>
        </c:ser>
        <c:dLbls>
          <c:showLegendKey val="0"/>
          <c:showVal val="0"/>
          <c:showCatName val="0"/>
          <c:showSerName val="0"/>
          <c:showPercent val="0"/>
          <c:showBubbleSize val="0"/>
          <c:showLeaderLines val="1"/>
        </c:dLbls>
        <c:firstSliceAng val="0"/>
      </c:pie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Monthly total sales trend over time</a:t>
            </a:r>
          </a:p>
        </c:rich>
      </c:tx>
      <c:overlay val="0"/>
    </c:title>
    <c:autoTitleDeleted val="0"/>
    <c:plotArea>
      <c:layout/>
      <c:lineChart>
        <c:grouping val="standard"/>
        <c:varyColors val="0"/>
        <c:ser>
          <c:idx val="0"/>
          <c:order val="0"/>
          <c:tx>
            <c:v>Total_Sales</c:v>
          </c:tx>
          <c:spPr>
            <a:ln w="9525" cap="flat">
              <a:solidFill>
                <a:srgbClr val="4765FF"/>
              </a:solidFill>
              <a:prstDash val="solid"/>
            </a:ln>
          </c:spPr>
          <c:marker>
            <c:symbol val="none"/>
          </c:marker>
          <c:dLbls>
            <c:numFmt formatCode="0.00" sourceLinked="0"/>
            <c:spPr>
              <a:noFill/>
              <a:ln>
                <a:noFill/>
              </a:ln>
              <a:effectLst/>
            </c:spPr>
            <c:txPr>
              <a:bodyPr/>
              <a:lstStyle/>
              <a:p>
                <a:pPr>
                  <a:defRPr sz="800" b="0" i="0" u="none" strike="noStrike">
                    <a:solidFill>
                      <a:srgbClr val="00000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'[1]Navigating Volatile Monthly Sal'!$A$10:$A$22</c:f>
              <c:strCache>
                <c:ptCount val="13"/>
                <c:pt idx="0">
                  <c:v>2024-04-01</c:v>
                </c:pt>
                <c:pt idx="1">
                  <c:v>2024-05-01</c:v>
                </c:pt>
                <c:pt idx="2">
                  <c:v>2024-06-01</c:v>
                </c:pt>
                <c:pt idx="3">
                  <c:v>2024-07-01</c:v>
                </c:pt>
                <c:pt idx="4">
                  <c:v>2024-08-01</c:v>
                </c:pt>
                <c:pt idx="5">
                  <c:v>2024-09-01</c:v>
                </c:pt>
                <c:pt idx="6">
                  <c:v>2024-10-01</c:v>
                </c:pt>
                <c:pt idx="7">
                  <c:v>2024-11-01</c:v>
                </c:pt>
                <c:pt idx="8">
                  <c:v>2024-12-01</c:v>
                </c:pt>
                <c:pt idx="9">
                  <c:v>2025-01-01</c:v>
                </c:pt>
                <c:pt idx="10">
                  <c:v>2025-02-01</c:v>
                </c:pt>
                <c:pt idx="11">
                  <c:v>2025-03-01</c:v>
                </c:pt>
                <c:pt idx="12">
                  <c:v>2025-04-01</c:v>
                </c:pt>
              </c:strCache>
            </c:strRef>
          </c:cat>
          <c:val>
            <c:numRef>
              <c:f>'[1]Navigating Volatile Monthly Sal'!$B$10:$B$22</c:f>
              <c:numCache>
                <c:formatCode>General</c:formatCode>
                <c:ptCount val="13"/>
                <c:pt idx="0">
                  <c:v>19029.96</c:v>
                </c:pt>
                <c:pt idx="1">
                  <c:v>18507.34</c:v>
                </c:pt>
                <c:pt idx="2">
                  <c:v>20187.509999999998</c:v>
                </c:pt>
                <c:pt idx="3">
                  <c:v>11609.04</c:v>
                </c:pt>
                <c:pt idx="4">
                  <c:v>10091.700000000001</c:v>
                </c:pt>
                <c:pt idx="5">
                  <c:v>20533.5</c:v>
                </c:pt>
                <c:pt idx="6">
                  <c:v>14215.24</c:v>
                </c:pt>
                <c:pt idx="7">
                  <c:v>20135.03</c:v>
                </c:pt>
                <c:pt idx="8">
                  <c:v>11120.04</c:v>
                </c:pt>
                <c:pt idx="9">
                  <c:v>14914.65</c:v>
                </c:pt>
                <c:pt idx="10">
                  <c:v>14006.36</c:v>
                </c:pt>
                <c:pt idx="11">
                  <c:v>17655.22</c:v>
                </c:pt>
                <c:pt idx="12">
                  <c:v>3212.17</c:v>
                </c:pt>
              </c:numCache>
            </c:numRef>
          </c:val>
          <c:smooth val="1"/>
          <c:extLst>
            <c:ext xmlns:c16="http://schemas.microsoft.com/office/drawing/2014/chart" uri="{C3380CC4-5D6E-409C-BE32-E72D297353CC}">
              <c16:uniqueId val="{00000000-95BA-1C48-81ED-6DD1646A7B37}"/>
            </c:ext>
          </c:extLst>
        </c:ser>
        <c:dLbls>
          <c:showLegendKey val="0"/>
          <c:showVal val="0"/>
          <c:showCatName val="0"/>
          <c:showSerName val="0"/>
          <c:showPercent val="0"/>
          <c:showBubbleSize val="0"/>
        </c:dLbls>
        <c:smooth val="0"/>
        <c:axId val="123456"/>
        <c:axId val="654321"/>
      </c:lineChart>
      <c:catAx>
        <c:axId val="123456"/>
        <c:scaling>
          <c:orientation val="minMax"/>
        </c:scaling>
        <c:delete val="0"/>
        <c:axPos val="b"/>
        <c:numFmt formatCode="General" sourceLinked="1"/>
        <c:majorTickMark val="none"/>
        <c:minorTickMark val="none"/>
        <c:tickLblPos val="low"/>
        <c:spPr>
          <a:ln w="6350" cap="flat">
            <a:solidFill>
              <a:srgbClr val="D1D5DB"/>
            </a:solidFill>
            <a:prstDash val="dash"/>
          </a:ln>
        </c:spPr>
        <c:txPr>
          <a:bodyPr rot="0" vert="horz"/>
          <a:lstStyle/>
          <a:p>
            <a:pPr>
              <a:defRPr sz="800" b="0" i="0" u="none" strike="noStrike">
                <a:solidFill>
                  <a:srgbClr val="000000"/>
                </a:solidFill>
                <a:latin typeface="Arial"/>
              </a:defRPr>
            </a:pPr>
            <a:endParaRPr lang="en-US"/>
          </a:p>
        </c:txPr>
        <c:crossAx val="654321"/>
        <c:crosses val="autoZero"/>
        <c:auto val="1"/>
        <c:lblAlgn val="ctr"/>
        <c:lblOffset val="100"/>
        <c:noMultiLvlLbl val="1"/>
      </c:catAx>
      <c:valAx>
        <c:axId val="654321"/>
        <c:scaling>
          <c:orientation val="minMax"/>
          <c:max val="30000"/>
          <c:min val="0"/>
        </c:scaling>
        <c:delete val="0"/>
        <c:axPos val="l"/>
        <c:majorGridlines>
          <c:spPr>
            <a:ln w="6350" cap="flat">
              <a:solidFill>
                <a:srgbClr val="D1D5DB"/>
              </a:solidFill>
              <a:prstDash val="dash"/>
            </a:ln>
          </c:spPr>
        </c:majorGridlines>
        <c:numFmt formatCode="0.00" sourceLinked="0"/>
        <c:majorTickMark val="none"/>
        <c:minorTickMark val="none"/>
        <c:tickLblPos val="nextTo"/>
        <c:spPr>
          <a:ln w="6350" cap="flat">
            <a:solidFill>
              <a:srgbClr val="D1D5DB"/>
            </a:solidFill>
            <a:prstDash val="dash"/>
          </a:ln>
        </c:spPr>
        <c:txPr>
          <a:bodyPr rot="0" vert="horz"/>
          <a:lstStyle/>
          <a:p>
            <a:pPr>
              <a:defRPr sz="900" b="0" i="0" u="none" strike="noStrike">
                <a:solidFill>
                  <a:srgbClr val="000000"/>
                </a:solidFill>
                <a:latin typeface="Arial"/>
              </a:defRPr>
            </a:pPr>
            <a:endParaRPr lang="en-US"/>
          </a:p>
        </c:txPr>
        <c:crossAx val="123456"/>
        <c:crosses val="autoZero"/>
        <c:crossBetween val="between"/>
        <c:majorUnit val="10000"/>
        <c:dispUnits>
          <c:builtInUnit val="thousands"/>
          <c:dispUnitsLbl>
            <c:tx>
              <c:rich>
                <a:bodyPr rot="0" vert="horz"/>
                <a:lstStyle/>
                <a:p>
                  <a:r>
                    <a:rPr lang="en-US" sz="1000">
                      <a:solidFill>
                        <a:srgbClr val="000000"/>
                      </a:solidFill>
                      <a:latin typeface="Arial"/>
                    </a:rPr>
                    <a:t>K</a:t>
                  </a:r>
                </a:p>
              </c:rich>
            </c:tx>
          </c:dispUnitsLbl>
        </c:dispUnits>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Monthly sales growth rate fluctuations</a:t>
            </a:r>
          </a:p>
        </c:rich>
      </c:tx>
      <c:overlay val="0"/>
    </c:title>
    <c:autoTitleDeleted val="0"/>
    <c:plotArea>
      <c:layout/>
      <c:lineChart>
        <c:grouping val="standard"/>
        <c:varyColors val="0"/>
        <c:ser>
          <c:idx val="0"/>
          <c:order val="0"/>
          <c:tx>
            <c:v>Growth</c:v>
          </c:tx>
          <c:spPr>
            <a:ln w="9525" cap="flat">
              <a:solidFill>
                <a:srgbClr val="4765FF"/>
              </a:solidFill>
              <a:prstDash val="solid"/>
            </a:ln>
          </c:spPr>
          <c:marker>
            <c:symbol val="none"/>
          </c:marker>
          <c:dLbls>
            <c:numFmt formatCode="General" sourceLinked="0"/>
            <c:spPr>
              <a:noFill/>
              <a:ln>
                <a:noFill/>
              </a:ln>
              <a:effectLst/>
            </c:spPr>
            <c:txPr>
              <a:bodyPr/>
              <a:lstStyle/>
              <a:p>
                <a:pPr>
                  <a:defRPr sz="800" b="0" i="0" u="none" strike="noStrike">
                    <a:solidFill>
                      <a:srgbClr val="00000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'[1]Navigating Volatile Monthly Sal'!$A$29:$A$41</c:f>
              <c:strCache>
                <c:ptCount val="13"/>
                <c:pt idx="0">
                  <c:v>2024-04-01</c:v>
                </c:pt>
                <c:pt idx="1">
                  <c:v>2024-05-01</c:v>
                </c:pt>
                <c:pt idx="2">
                  <c:v>2024-06-01</c:v>
                </c:pt>
                <c:pt idx="3">
                  <c:v>2024-07-01</c:v>
                </c:pt>
                <c:pt idx="4">
                  <c:v>2024-08-01</c:v>
                </c:pt>
                <c:pt idx="5">
                  <c:v>2024-09-01</c:v>
                </c:pt>
                <c:pt idx="6">
                  <c:v>2024-10-01</c:v>
                </c:pt>
                <c:pt idx="7">
                  <c:v>2024-11-01</c:v>
                </c:pt>
                <c:pt idx="8">
                  <c:v>2024-12-01</c:v>
                </c:pt>
                <c:pt idx="9">
                  <c:v>2025-01-01</c:v>
                </c:pt>
                <c:pt idx="10">
                  <c:v>2025-02-01</c:v>
                </c:pt>
                <c:pt idx="11">
                  <c:v>2025-03-01</c:v>
                </c:pt>
                <c:pt idx="12">
                  <c:v>2025-04-01</c:v>
                </c:pt>
              </c:strCache>
            </c:strRef>
          </c:cat>
          <c:val>
            <c:numRef>
              <c:f>'[1]Navigating Volatile Monthly Sal'!$B$29:$B$41</c:f>
              <c:numCache>
                <c:formatCode>General</c:formatCode>
                <c:ptCount val="13"/>
                <c:pt idx="0">
                  <c:v>0</c:v>
                </c:pt>
                <c:pt idx="1">
                  <c:v>-2.7E-2</c:v>
                </c:pt>
                <c:pt idx="2">
                  <c:v>9.0999999999999998E-2</c:v>
                </c:pt>
                <c:pt idx="3">
                  <c:v>-0.42499999999999999</c:v>
                </c:pt>
                <c:pt idx="4">
                  <c:v>-0.13100000000000001</c:v>
                </c:pt>
                <c:pt idx="5">
                  <c:v>1.0349999999999999</c:v>
                </c:pt>
                <c:pt idx="6">
                  <c:v>-0.308</c:v>
                </c:pt>
                <c:pt idx="7">
                  <c:v>0.41599999999999998</c:v>
                </c:pt>
                <c:pt idx="8">
                  <c:v>-0.44800000000000001</c:v>
                </c:pt>
                <c:pt idx="9">
                  <c:v>0.34100000000000003</c:v>
                </c:pt>
                <c:pt idx="10">
                  <c:v>-6.0999999999999999E-2</c:v>
                </c:pt>
                <c:pt idx="11">
                  <c:v>0.26100000000000001</c:v>
                </c:pt>
                <c:pt idx="12">
                  <c:v>-0.81799999999999995</c:v>
                </c:pt>
              </c:numCache>
            </c:numRef>
          </c:val>
          <c:smooth val="1"/>
          <c:extLst>
            <c:ext xmlns:c16="http://schemas.microsoft.com/office/drawing/2014/chart" uri="{C3380CC4-5D6E-409C-BE32-E72D297353CC}">
              <c16:uniqueId val="{00000000-AEE8-0B42-972F-3177B7BD0C7A}"/>
            </c:ext>
          </c:extLst>
        </c:ser>
        <c:dLbls>
          <c:showLegendKey val="0"/>
          <c:showVal val="0"/>
          <c:showCatName val="0"/>
          <c:showSerName val="0"/>
          <c:showPercent val="0"/>
          <c:showBubbleSize val="0"/>
        </c:dLbls>
        <c:smooth val="0"/>
        <c:axId val="123456"/>
        <c:axId val="654321"/>
      </c:lineChart>
      <c:catAx>
        <c:axId val="123456"/>
        <c:scaling>
          <c:orientation val="minMax"/>
        </c:scaling>
        <c:delete val="0"/>
        <c:axPos val="b"/>
        <c:numFmt formatCode="General" sourceLinked="1"/>
        <c:majorTickMark val="none"/>
        <c:minorTickMark val="none"/>
        <c:tickLblPos val="low"/>
        <c:spPr>
          <a:ln w="6350" cap="flat">
            <a:solidFill>
              <a:srgbClr val="D1D5DB"/>
            </a:solidFill>
            <a:prstDash val="dash"/>
          </a:ln>
        </c:spPr>
        <c:txPr>
          <a:bodyPr rot="0" vert="horz"/>
          <a:lstStyle/>
          <a:p>
            <a:pPr>
              <a:defRPr sz="800" b="0" i="0" u="none" strike="noStrike">
                <a:solidFill>
                  <a:srgbClr val="000000"/>
                </a:solidFill>
                <a:latin typeface="Arial"/>
              </a:defRPr>
            </a:pPr>
            <a:endParaRPr lang="en-US"/>
          </a:p>
        </c:txPr>
        <c:crossAx val="654321"/>
        <c:crosses val="autoZero"/>
        <c:auto val="1"/>
        <c:lblAlgn val="ctr"/>
        <c:lblOffset val="100"/>
        <c:noMultiLvlLbl val="1"/>
      </c:catAx>
      <c:valAx>
        <c:axId val="654321"/>
        <c:scaling>
          <c:orientation val="minMax"/>
          <c:max val="1.25"/>
          <c:min val="-1.25"/>
        </c:scaling>
        <c:delete val="0"/>
        <c:axPos val="l"/>
        <c:majorGridlines>
          <c:spPr>
            <a:ln w="6350" cap="flat">
              <a:solidFill>
                <a:srgbClr val="D1D5DB"/>
              </a:solidFill>
              <a:prstDash val="dash"/>
            </a:ln>
          </c:spPr>
        </c:majorGridlines>
        <c:numFmt formatCode="General" sourceLinked="0"/>
        <c:majorTickMark val="none"/>
        <c:minorTickMark val="none"/>
        <c:tickLblPos val="nextTo"/>
        <c:spPr>
          <a:ln w="6350" cap="flat">
            <a:solidFill>
              <a:srgbClr val="D1D5DB"/>
            </a:solidFill>
            <a:prstDash val="dash"/>
          </a:ln>
        </c:spPr>
        <c:txPr>
          <a:bodyPr rot="0" vert="horz"/>
          <a:lstStyle/>
          <a:p>
            <a:pPr>
              <a:defRPr sz="900" b="0" i="0" u="none" strike="noStrike">
                <a:solidFill>
                  <a:srgbClr val="000000"/>
                </a:solidFill>
                <a:latin typeface="Arial"/>
              </a:defRPr>
            </a:pPr>
            <a:endParaRPr lang="en-US"/>
          </a:p>
        </c:txPr>
        <c:crossAx val="123456"/>
        <c:crosses val="autoZero"/>
        <c:crossBetween val="between"/>
        <c:majorUnit val="0.625"/>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Sales distribution by product category within each region</a:t>
            </a:r>
          </a:p>
        </c:rich>
      </c:tx>
      <c:overlay val="0"/>
    </c:title>
    <c:autoTitleDeleted val="0"/>
    <c:plotArea>
      <c:layout/>
      <c:barChart>
        <c:barDir val="col"/>
        <c:grouping val="stacked"/>
        <c:varyColors val="0"/>
        <c:ser>
          <c:idx val="0"/>
          <c:order val="0"/>
          <c:tx>
            <c:v>Books</c:v>
          </c:tx>
          <c:spPr>
            <a:solidFill>
              <a:srgbClr val="4765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'!$A$10:$A$14</c:f>
              <c:strCache>
                <c:ptCount val="5"/>
                <c:pt idx="0">
                  <c:v>South</c:v>
                </c:pt>
                <c:pt idx="1">
                  <c:v>Central</c:v>
                </c:pt>
                <c:pt idx="2">
                  <c:v>East</c:v>
                </c:pt>
                <c:pt idx="3">
                  <c:v>North</c:v>
                </c:pt>
                <c:pt idx="4">
                  <c:v>West</c:v>
                </c:pt>
              </c:strCache>
            </c:strRef>
          </c:cat>
          <c:val>
            <c:numRef>
              <c:f>'[1]Regional Sales Patterns Reveal '!$B$10:$B$14</c:f>
              <c:numCache>
                <c:formatCode>General</c:formatCode>
                <c:ptCount val="5"/>
                <c:pt idx="0">
                  <c:v>9588.0400000000009</c:v>
                </c:pt>
                <c:pt idx="1">
                  <c:v>11297.15</c:v>
                </c:pt>
                <c:pt idx="2">
                  <c:v>11389.09</c:v>
                </c:pt>
                <c:pt idx="3">
                  <c:v>8037.01</c:v>
                </c:pt>
                <c:pt idx="4">
                  <c:v>6691.17</c:v>
                </c:pt>
              </c:numCache>
            </c:numRef>
          </c:val>
          <c:extLst>
            <c:ext xmlns:c16="http://schemas.microsoft.com/office/drawing/2014/chart" uri="{C3380CC4-5D6E-409C-BE32-E72D297353CC}">
              <c16:uniqueId val="{00000000-EABA-384B-9535-226FB9999F40}"/>
            </c:ext>
          </c:extLst>
        </c:ser>
        <c:ser>
          <c:idx val="1"/>
          <c:order val="1"/>
          <c:tx>
            <c:v>Clothing</c:v>
          </c:tx>
          <c:spPr>
            <a:solidFill>
              <a:srgbClr val="698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'!$A$10:$A$14</c:f>
              <c:strCache>
                <c:ptCount val="5"/>
                <c:pt idx="0">
                  <c:v>South</c:v>
                </c:pt>
                <c:pt idx="1">
                  <c:v>Central</c:v>
                </c:pt>
                <c:pt idx="2">
                  <c:v>East</c:v>
                </c:pt>
                <c:pt idx="3">
                  <c:v>North</c:v>
                </c:pt>
                <c:pt idx="4">
                  <c:v>West</c:v>
                </c:pt>
              </c:strCache>
            </c:strRef>
          </c:cat>
          <c:val>
            <c:numRef>
              <c:f>'[1]Regional Sales Patterns Reveal '!$C$10:$C$14</c:f>
              <c:numCache>
                <c:formatCode>General</c:formatCode>
                <c:ptCount val="5"/>
                <c:pt idx="0">
                  <c:v>8393.6299999999992</c:v>
                </c:pt>
                <c:pt idx="1">
                  <c:v>12200.26</c:v>
                </c:pt>
                <c:pt idx="2">
                  <c:v>2401.4499999999998</c:v>
                </c:pt>
                <c:pt idx="3">
                  <c:v>8422.82</c:v>
                </c:pt>
                <c:pt idx="4">
                  <c:v>10509.43</c:v>
                </c:pt>
              </c:numCache>
            </c:numRef>
          </c:val>
          <c:extLst>
            <c:ext xmlns:c16="http://schemas.microsoft.com/office/drawing/2014/chart" uri="{C3380CC4-5D6E-409C-BE32-E72D297353CC}">
              <c16:uniqueId val="{00000001-EABA-384B-9535-226FB9999F40}"/>
            </c:ext>
          </c:extLst>
        </c:ser>
        <c:ser>
          <c:idx val="2"/>
          <c:order val="2"/>
          <c:tx>
            <c:v>Electronics</c:v>
          </c:tx>
          <c:spPr>
            <a:solidFill>
              <a:srgbClr val="8BA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'!$A$10:$A$14</c:f>
              <c:strCache>
                <c:ptCount val="5"/>
                <c:pt idx="0">
                  <c:v>South</c:v>
                </c:pt>
                <c:pt idx="1">
                  <c:v>Central</c:v>
                </c:pt>
                <c:pt idx="2">
                  <c:v>East</c:v>
                </c:pt>
                <c:pt idx="3">
                  <c:v>North</c:v>
                </c:pt>
                <c:pt idx="4">
                  <c:v>West</c:v>
                </c:pt>
              </c:strCache>
            </c:strRef>
          </c:cat>
          <c:val>
            <c:numRef>
              <c:f>'[1]Regional Sales Patterns Reveal '!$D$10:$D$14</c:f>
              <c:numCache>
                <c:formatCode>General</c:formatCode>
                <c:ptCount val="5"/>
                <c:pt idx="0">
                  <c:v>11989.07</c:v>
                </c:pt>
                <c:pt idx="1">
                  <c:v>6621.24</c:v>
                </c:pt>
                <c:pt idx="2">
                  <c:v>2869.54</c:v>
                </c:pt>
                <c:pt idx="3">
                  <c:v>8191.71</c:v>
                </c:pt>
                <c:pt idx="4">
                  <c:v>11372.44</c:v>
                </c:pt>
              </c:numCache>
            </c:numRef>
          </c:val>
          <c:extLst>
            <c:ext xmlns:c16="http://schemas.microsoft.com/office/drawing/2014/chart" uri="{C3380CC4-5D6E-409C-BE32-E72D297353CC}">
              <c16:uniqueId val="{00000002-EABA-384B-9535-226FB9999F40}"/>
            </c:ext>
          </c:extLst>
        </c:ser>
        <c:ser>
          <c:idx val="3"/>
          <c:order val="3"/>
          <c:tx>
            <c:v>Furniture</c:v>
          </c:tx>
          <c:spPr>
            <a:solidFill>
              <a:srgbClr val="ADC6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'!$A$10:$A$14</c:f>
              <c:strCache>
                <c:ptCount val="5"/>
                <c:pt idx="0">
                  <c:v>South</c:v>
                </c:pt>
                <c:pt idx="1">
                  <c:v>Central</c:v>
                </c:pt>
                <c:pt idx="2">
                  <c:v>East</c:v>
                </c:pt>
                <c:pt idx="3">
                  <c:v>North</c:v>
                </c:pt>
                <c:pt idx="4">
                  <c:v>West</c:v>
                </c:pt>
              </c:strCache>
            </c:strRef>
          </c:cat>
          <c:val>
            <c:numRef>
              <c:f>'[1]Regional Sales Patterns Reveal '!$E$10:$E$14</c:f>
              <c:numCache>
                <c:formatCode>General</c:formatCode>
                <c:ptCount val="5"/>
                <c:pt idx="0">
                  <c:v>7982.73</c:v>
                </c:pt>
                <c:pt idx="1">
                  <c:v>4876.96</c:v>
                </c:pt>
                <c:pt idx="2">
                  <c:v>7592.34</c:v>
                </c:pt>
                <c:pt idx="3">
                  <c:v>6978.08</c:v>
                </c:pt>
                <c:pt idx="4">
                  <c:v>9182.7800000000007</c:v>
                </c:pt>
              </c:numCache>
            </c:numRef>
          </c:val>
          <c:extLst>
            <c:ext xmlns:c16="http://schemas.microsoft.com/office/drawing/2014/chart" uri="{C3380CC4-5D6E-409C-BE32-E72D297353CC}">
              <c16:uniqueId val="{00000003-EABA-384B-9535-226FB9999F40}"/>
            </c:ext>
          </c:extLst>
        </c:ser>
        <c:ser>
          <c:idx val="4"/>
          <c:order val="4"/>
          <c:tx>
            <c:v>Office Supplies</c:v>
          </c:tx>
          <c:spPr>
            <a:solidFill>
              <a:srgbClr val="D6E4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'!$A$10:$A$14</c:f>
              <c:strCache>
                <c:ptCount val="5"/>
                <c:pt idx="0">
                  <c:v>South</c:v>
                </c:pt>
                <c:pt idx="1">
                  <c:v>Central</c:v>
                </c:pt>
                <c:pt idx="2">
                  <c:v>East</c:v>
                </c:pt>
                <c:pt idx="3">
                  <c:v>North</c:v>
                </c:pt>
                <c:pt idx="4">
                  <c:v>West</c:v>
                </c:pt>
              </c:strCache>
            </c:strRef>
          </c:cat>
          <c:val>
            <c:numRef>
              <c:f>'[1]Regional Sales Patterns Reveal '!$F$10:$F$14</c:f>
              <c:numCache>
                <c:formatCode>General</c:formatCode>
                <c:ptCount val="5"/>
                <c:pt idx="0">
                  <c:v>2295.3200000000002</c:v>
                </c:pt>
                <c:pt idx="1">
                  <c:v>8472.7199999999993</c:v>
                </c:pt>
                <c:pt idx="2">
                  <c:v>8189.22</c:v>
                </c:pt>
                <c:pt idx="3">
                  <c:v>3345.8</c:v>
                </c:pt>
                <c:pt idx="4">
                  <c:v>6327.76</c:v>
                </c:pt>
              </c:numCache>
            </c:numRef>
          </c:val>
          <c:extLst>
            <c:ext xmlns:c16="http://schemas.microsoft.com/office/drawing/2014/chart" uri="{C3380CC4-5D6E-409C-BE32-E72D297353CC}">
              <c16:uniqueId val="{00000004-EABA-384B-9535-226FB9999F40}"/>
            </c:ext>
          </c:extLst>
        </c:ser>
        <c:dLbls>
          <c:showLegendKey val="0"/>
          <c:showVal val="0"/>
          <c:showCatName val="0"/>
          <c:showSerName val="0"/>
          <c:showPercent val="0"/>
          <c:showBubbleSize val="0"/>
        </c:dLbls>
        <c:gapWidth val="150"/>
        <c:overlap val="100"/>
        <c:axId val="123456"/>
        <c:axId val="654321"/>
      </c:barChart>
      <c:catAx>
        <c:axId val="123456"/>
        <c:scaling>
          <c:orientation val="minMax"/>
        </c:scaling>
        <c:delete val="0"/>
        <c:axPos val="b"/>
        <c:numFmt formatCode="General" sourceLinked="1"/>
        <c:majorTickMark val="none"/>
        <c:minorTickMark val="none"/>
        <c:tickLblPos val="low"/>
        <c:spPr>
          <a:ln w="6350" cap="flat">
            <a:solidFill>
              <a:srgbClr val="D1D5DB"/>
            </a:solidFill>
            <a:prstDash val="dash"/>
          </a:ln>
        </c:spPr>
        <c:txPr>
          <a:bodyPr rot="0" vert="horz"/>
          <a:lstStyle/>
          <a:p>
            <a:pPr>
              <a:defRPr sz="800" b="0" i="0" u="none" strike="noStrike">
                <a:solidFill>
                  <a:srgbClr val="000000"/>
                </a:solidFill>
                <a:latin typeface="Arial"/>
              </a:defRPr>
            </a:pPr>
            <a:endParaRPr lang="en-US"/>
          </a:p>
        </c:txPr>
        <c:crossAx val="654321"/>
        <c:crosses val="autoZero"/>
        <c:auto val="1"/>
        <c:lblAlgn val="ctr"/>
        <c:lblOffset val="100"/>
        <c:noMultiLvlLbl val="1"/>
      </c:catAx>
      <c:valAx>
        <c:axId val="654321"/>
        <c:scaling>
          <c:orientation val="minMax"/>
          <c:max val="60000"/>
          <c:min val="0"/>
        </c:scaling>
        <c:delete val="0"/>
        <c:axPos val="l"/>
        <c:majorGridlines>
          <c:spPr>
            <a:ln w="6350" cap="flat">
              <a:solidFill>
                <a:srgbClr val="D1D5DB"/>
              </a:solidFill>
              <a:prstDash val="dash"/>
            </a:ln>
          </c:spPr>
        </c:majorGridlines>
        <c:title>
          <c:tx>
            <c:rich>
              <a:bodyPr rot="-5400000" vert="horz"/>
              <a:lstStyle/>
              <a:p>
                <a:pPr>
                  <a:defRPr sz="1000" b="0" i="0" u="none" strike="noStrike">
                    <a:solidFill>
                      <a:srgbClr val="000000"/>
                    </a:solidFill>
                    <a:latin typeface="Arial"/>
                  </a:defRPr>
                </a:pPr>
                <a:r>
                  <a:rPr lang="en-US" sz="1000" b="0" i="0" u="none" strike="noStrike">
                    <a:solidFill>
                      <a:srgbClr val="000000"/>
                    </a:solidFill>
                    <a:latin typeface="Arial"/>
                  </a:rPr>
                  <a:t>Sales Amount</a:t>
                </a:r>
              </a:p>
            </c:rich>
          </c:tx>
          <c:overlay val="0"/>
        </c:title>
        <c:numFmt formatCode="0.00" sourceLinked="0"/>
        <c:majorTickMark val="none"/>
        <c:minorTickMark val="none"/>
        <c:tickLblPos val="nextTo"/>
        <c:spPr>
          <a:ln w="6350" cap="flat">
            <a:solidFill>
              <a:srgbClr val="D1D5DB"/>
            </a:solidFill>
            <a:prstDash val="dash"/>
          </a:ln>
        </c:spPr>
        <c:txPr>
          <a:bodyPr rot="0" vert="horz"/>
          <a:lstStyle/>
          <a:p>
            <a:pPr>
              <a:defRPr sz="900" b="0" i="0" u="none" strike="noStrike">
                <a:solidFill>
                  <a:srgbClr val="000000"/>
                </a:solidFill>
                <a:latin typeface="Arial"/>
              </a:defRPr>
            </a:pPr>
            <a:endParaRPr lang="en-US"/>
          </a:p>
        </c:txPr>
        <c:crossAx val="123456"/>
        <c:crosses val="autoZero"/>
        <c:crossBetween val="between"/>
        <c:majorUnit val="20000"/>
        <c:dispUnits>
          <c:builtInUnit val="thousands"/>
          <c:dispUnitsLbl>
            <c:tx>
              <c:rich>
                <a:bodyPr rot="0" vert="horz"/>
                <a:lstStyle/>
                <a:p>
                  <a:r>
                    <a:rPr lang="en-US" sz="1000">
                      <a:solidFill>
                        <a:srgbClr val="000000"/>
                      </a:solidFill>
                      <a:latin typeface="Arial"/>
                    </a:rPr>
                    <a:t>K</a:t>
                  </a:r>
                </a:p>
              </c:rich>
            </c:tx>
          </c:dispUnitsLbl>
        </c:dispUnits>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Top-performing region for each product category</a:t>
            </a:r>
          </a:p>
        </c:rich>
      </c:tx>
      <c:overlay val="0"/>
    </c:title>
    <c:autoTitleDeleted val="0"/>
    <c:plotArea>
      <c:layout/>
      <c:barChart>
        <c:barDir val="bar"/>
        <c:grouping val="stacked"/>
        <c:varyColors val="0"/>
        <c:ser>
          <c:idx val="0"/>
          <c:order val="0"/>
          <c:tx>
            <c:v>Central</c:v>
          </c:tx>
          <c:spPr>
            <a:solidFill>
              <a:srgbClr val="4765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'!$A$28:$A$32</c:f>
              <c:strCache>
                <c:ptCount val="5"/>
                <c:pt idx="0">
                  <c:v>Office Supplies</c:v>
                </c:pt>
                <c:pt idx="1">
                  <c:v>Clothing</c:v>
                </c:pt>
                <c:pt idx="2">
                  <c:v>Electronics</c:v>
                </c:pt>
                <c:pt idx="3">
                  <c:v>Furniture</c:v>
                </c:pt>
                <c:pt idx="4">
                  <c:v>Books</c:v>
                </c:pt>
              </c:strCache>
            </c:strRef>
          </c:cat>
          <c:val>
            <c:numRef>
              <c:f>'[1]Regional Sales Patterns Reveal '!$B$28:$B$32</c:f>
              <c:numCache>
                <c:formatCode>General</c:formatCode>
                <c:ptCount val="5"/>
                <c:pt idx="0">
                  <c:v>8472.7199999999993</c:v>
                </c:pt>
                <c:pt idx="1">
                  <c:v>12200.26</c:v>
                </c:pt>
              </c:numCache>
            </c:numRef>
          </c:val>
          <c:extLst>
            <c:ext xmlns:c16="http://schemas.microsoft.com/office/drawing/2014/chart" uri="{C3380CC4-5D6E-409C-BE32-E72D297353CC}">
              <c16:uniqueId val="{00000000-18DD-FA4E-A4B2-985208E637D8}"/>
            </c:ext>
          </c:extLst>
        </c:ser>
        <c:ser>
          <c:idx val="1"/>
          <c:order val="1"/>
          <c:tx>
            <c:v>East</c:v>
          </c:tx>
          <c:spPr>
            <a:solidFill>
              <a:srgbClr val="698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'!$A$28:$A$32</c:f>
              <c:strCache>
                <c:ptCount val="5"/>
                <c:pt idx="0">
                  <c:v>Office Supplies</c:v>
                </c:pt>
                <c:pt idx="1">
                  <c:v>Clothing</c:v>
                </c:pt>
                <c:pt idx="2">
                  <c:v>Electronics</c:v>
                </c:pt>
                <c:pt idx="3">
                  <c:v>Furniture</c:v>
                </c:pt>
                <c:pt idx="4">
                  <c:v>Books</c:v>
                </c:pt>
              </c:strCache>
            </c:strRef>
          </c:cat>
          <c:val>
            <c:numRef>
              <c:f>'[1]Regional Sales Patterns Reveal '!$C$28:$C$32</c:f>
              <c:numCache>
                <c:formatCode>General</c:formatCode>
                <c:ptCount val="5"/>
                <c:pt idx="4">
                  <c:v>11389.09</c:v>
                </c:pt>
              </c:numCache>
            </c:numRef>
          </c:val>
          <c:extLst>
            <c:ext xmlns:c16="http://schemas.microsoft.com/office/drawing/2014/chart" uri="{C3380CC4-5D6E-409C-BE32-E72D297353CC}">
              <c16:uniqueId val="{00000001-18DD-FA4E-A4B2-985208E637D8}"/>
            </c:ext>
          </c:extLst>
        </c:ser>
        <c:ser>
          <c:idx val="2"/>
          <c:order val="2"/>
          <c:tx>
            <c:v>South</c:v>
          </c:tx>
          <c:spPr>
            <a:solidFill>
              <a:srgbClr val="8BA2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'!$A$28:$A$32</c:f>
              <c:strCache>
                <c:ptCount val="5"/>
                <c:pt idx="0">
                  <c:v>Office Supplies</c:v>
                </c:pt>
                <c:pt idx="1">
                  <c:v>Clothing</c:v>
                </c:pt>
                <c:pt idx="2">
                  <c:v>Electronics</c:v>
                </c:pt>
                <c:pt idx="3">
                  <c:v>Furniture</c:v>
                </c:pt>
                <c:pt idx="4">
                  <c:v>Books</c:v>
                </c:pt>
              </c:strCache>
            </c:strRef>
          </c:cat>
          <c:val>
            <c:numRef>
              <c:f>'[1]Regional Sales Patterns Reveal '!$D$28:$D$32</c:f>
              <c:numCache>
                <c:formatCode>General</c:formatCode>
                <c:ptCount val="5"/>
                <c:pt idx="2">
                  <c:v>11989.07</c:v>
                </c:pt>
              </c:numCache>
            </c:numRef>
          </c:val>
          <c:extLst>
            <c:ext xmlns:c16="http://schemas.microsoft.com/office/drawing/2014/chart" uri="{C3380CC4-5D6E-409C-BE32-E72D297353CC}">
              <c16:uniqueId val="{00000002-18DD-FA4E-A4B2-985208E637D8}"/>
            </c:ext>
          </c:extLst>
        </c:ser>
        <c:ser>
          <c:idx val="3"/>
          <c:order val="3"/>
          <c:tx>
            <c:v>West</c:v>
          </c:tx>
          <c:spPr>
            <a:solidFill>
              <a:srgbClr val="ADC6FF"/>
            </a:solidFill>
            <a:ln>
              <a:noFill/>
            </a:ln>
          </c:spPr>
          <c:invertIfNegative val="0"/>
          <c:dLbls>
            <c:numFmt formatCode="0.00" sourceLinked="0"/>
            <c:spPr>
              <a:noFill/>
              <a:ln>
                <a:noFill/>
              </a:ln>
              <a:effectLst/>
            </c:spPr>
            <c:txPr>
              <a:bodyPr/>
              <a:lstStyle/>
              <a:p>
                <a:pPr>
                  <a:defRPr sz="800" b="0" i="0" u="none" strike="noStrike">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'[1]Regional Sales Patterns Reveal '!$A$28:$A$32</c:f>
              <c:strCache>
                <c:ptCount val="5"/>
                <c:pt idx="0">
                  <c:v>Office Supplies</c:v>
                </c:pt>
                <c:pt idx="1">
                  <c:v>Clothing</c:v>
                </c:pt>
                <c:pt idx="2">
                  <c:v>Electronics</c:v>
                </c:pt>
                <c:pt idx="3">
                  <c:v>Furniture</c:v>
                </c:pt>
                <c:pt idx="4">
                  <c:v>Books</c:v>
                </c:pt>
              </c:strCache>
            </c:strRef>
          </c:cat>
          <c:val>
            <c:numRef>
              <c:f>'[1]Regional Sales Patterns Reveal '!$E$28:$E$32</c:f>
              <c:numCache>
                <c:formatCode>General</c:formatCode>
                <c:ptCount val="5"/>
                <c:pt idx="3">
                  <c:v>9182.7800000000007</c:v>
                </c:pt>
              </c:numCache>
            </c:numRef>
          </c:val>
          <c:extLst>
            <c:ext xmlns:c16="http://schemas.microsoft.com/office/drawing/2014/chart" uri="{C3380CC4-5D6E-409C-BE32-E72D297353CC}">
              <c16:uniqueId val="{00000003-18DD-FA4E-A4B2-985208E637D8}"/>
            </c:ext>
          </c:extLst>
        </c:ser>
        <c:dLbls>
          <c:showLegendKey val="0"/>
          <c:showVal val="0"/>
          <c:showCatName val="0"/>
          <c:showSerName val="0"/>
          <c:showPercent val="0"/>
          <c:showBubbleSize val="0"/>
        </c:dLbls>
        <c:gapWidth val="150"/>
        <c:overlap val="100"/>
        <c:axId val="123456"/>
        <c:axId val="654321"/>
      </c:barChart>
      <c:catAx>
        <c:axId val="123456"/>
        <c:scaling>
          <c:orientation val="minMax"/>
        </c:scaling>
        <c:delete val="0"/>
        <c:axPos val="l"/>
        <c:numFmt formatCode="General" sourceLinked="1"/>
        <c:majorTickMark val="none"/>
        <c:minorTickMark val="none"/>
        <c:tickLblPos val="low"/>
        <c:spPr>
          <a:ln w="6350" cap="flat">
            <a:solidFill>
              <a:srgbClr val="D1D5DB"/>
            </a:solidFill>
            <a:prstDash val="dash"/>
          </a:ln>
        </c:spPr>
        <c:txPr>
          <a:bodyPr rot="0" vert="horz"/>
          <a:lstStyle/>
          <a:p>
            <a:pPr>
              <a:defRPr sz="800" b="0" i="0" u="none" strike="noStrike">
                <a:solidFill>
                  <a:srgbClr val="000000"/>
                </a:solidFill>
                <a:latin typeface="Arial"/>
              </a:defRPr>
            </a:pPr>
            <a:endParaRPr lang="en-US"/>
          </a:p>
        </c:txPr>
        <c:crossAx val="654321"/>
        <c:crosses val="autoZero"/>
        <c:auto val="1"/>
        <c:lblAlgn val="ctr"/>
        <c:lblOffset val="100"/>
        <c:noMultiLvlLbl val="1"/>
      </c:catAx>
      <c:valAx>
        <c:axId val="654321"/>
        <c:scaling>
          <c:orientation val="minMax"/>
          <c:max val="15000"/>
          <c:min val="0"/>
        </c:scaling>
        <c:delete val="0"/>
        <c:axPos val="b"/>
        <c:majorGridlines>
          <c:spPr>
            <a:ln w="6350" cap="flat">
              <a:solidFill>
                <a:srgbClr val="D1D5DB"/>
              </a:solidFill>
              <a:prstDash val="dash"/>
            </a:ln>
          </c:spPr>
        </c:majorGridlines>
        <c:numFmt formatCode="0.00" sourceLinked="0"/>
        <c:majorTickMark val="none"/>
        <c:minorTickMark val="none"/>
        <c:tickLblPos val="nextTo"/>
        <c:spPr>
          <a:ln w="6350" cap="flat">
            <a:solidFill>
              <a:srgbClr val="D1D5DB"/>
            </a:solidFill>
            <a:prstDash val="dash"/>
          </a:ln>
        </c:spPr>
        <c:txPr>
          <a:bodyPr rot="0" vert="horz"/>
          <a:lstStyle/>
          <a:p>
            <a:pPr>
              <a:defRPr sz="900" b="0" i="0" u="none" strike="noStrike">
                <a:solidFill>
                  <a:srgbClr val="000000"/>
                </a:solidFill>
                <a:latin typeface="Arial"/>
              </a:defRPr>
            </a:pPr>
            <a:endParaRPr lang="en-US"/>
          </a:p>
        </c:txPr>
        <c:crossAx val="123456"/>
        <c:crosses val="autoZero"/>
        <c:crossBetween val="between"/>
        <c:majorUnit val="5000"/>
        <c:dispUnits>
          <c:builtInUnit val="thousands"/>
          <c:dispUnitsLbl>
            <c:tx>
              <c:rich>
                <a:bodyPr rot="0" vert="horz"/>
                <a:lstStyle/>
                <a:p>
                  <a:r>
                    <a:rPr lang="en-US" sz="1000">
                      <a:solidFill>
                        <a:srgbClr val="000000"/>
                      </a:solidFill>
                      <a:latin typeface="Arial"/>
                    </a:rPr>
                    <a:t>K</a:t>
                  </a:r>
                </a:p>
              </c:rich>
            </c:tx>
          </c:dispUnitsLbl>
        </c:dispUnits>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t"/>
      <c:overlay val="0"/>
      <c:spPr>
        <a:noFill/>
        <a:ln>
          <a:noFill/>
        </a:ln>
        <a:effectLst/>
      </c:spPr>
      <c:txPr>
        <a:bodyPr/>
        <a:lstStyle/>
        <a:p>
          <a:pPr>
            <a:defRPr sz="800">
              <a:solidFill>
                <a:schemeClr val="tx1"/>
              </a:solidFill>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Discount vs Estimated Profit</a:t>
            </a:r>
          </a:p>
        </c:rich>
      </c:tx>
      <c:overlay val="0"/>
    </c:title>
    <c:autoTitleDeleted val="0"/>
    <c:plotArea>
      <c:layout/>
      <c:lineChart>
        <c:grouping val="standard"/>
        <c:varyColors val="0"/>
        <c:ser>
          <c:idx val="0"/>
          <c:order val="0"/>
          <c:tx>
            <c:v>Est Total Profit</c:v>
          </c:tx>
          <c:marker>
            <c:symbol val="none"/>
          </c:marker>
          <c:cat>
            <c:numRef>
              <c:f>'Task2 - WhatIf'!$A$2:$A$32</c:f>
              <c:numCache>
                <c:formatCode>0.00%</c:formatCode>
                <c:ptCount val="3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numCache>
            </c:numRef>
          </c:cat>
          <c:val>
            <c:numRef>
              <c:f>'Task2 - WhatIf'!$C$2:$C$32</c:f>
              <c:numCache>
                <c:formatCode>"₹"#,##0.00</c:formatCode>
                <c:ptCount val="31"/>
                <c:pt idx="0">
                  <c:v>68287.010000000009</c:v>
                </c:pt>
                <c:pt idx="1">
                  <c:v>67604.139900000009</c:v>
                </c:pt>
                <c:pt idx="2">
                  <c:v>66921.269800000009</c:v>
                </c:pt>
                <c:pt idx="3">
                  <c:v>66238.399699999994</c:v>
                </c:pt>
                <c:pt idx="4">
                  <c:v>65555.529600000009</c:v>
                </c:pt>
                <c:pt idx="5">
                  <c:v>64872.659500000002</c:v>
                </c:pt>
                <c:pt idx="6">
                  <c:v>64189.789400000009</c:v>
                </c:pt>
                <c:pt idx="7">
                  <c:v>63506.919299999987</c:v>
                </c:pt>
                <c:pt idx="8">
                  <c:v>62824.049200000009</c:v>
                </c:pt>
                <c:pt idx="9">
                  <c:v>62141.179100000008</c:v>
                </c:pt>
                <c:pt idx="10">
                  <c:v>61458.309000000023</c:v>
                </c:pt>
                <c:pt idx="11">
                  <c:v>60775.438900000001</c:v>
                </c:pt>
                <c:pt idx="12">
                  <c:v>60092.568800000008</c:v>
                </c:pt>
                <c:pt idx="13">
                  <c:v>59409.698700000008</c:v>
                </c:pt>
                <c:pt idx="14">
                  <c:v>58726.828600000008</c:v>
                </c:pt>
                <c:pt idx="15">
                  <c:v>58043.958500000001</c:v>
                </c:pt>
                <c:pt idx="16">
                  <c:v>57361.088400000001</c:v>
                </c:pt>
                <c:pt idx="17">
                  <c:v>56678.2183</c:v>
                </c:pt>
                <c:pt idx="18">
                  <c:v>55995.348200000008</c:v>
                </c:pt>
                <c:pt idx="19">
                  <c:v>55312.478100000008</c:v>
                </c:pt>
                <c:pt idx="20">
                  <c:v>54629.608000000007</c:v>
                </c:pt>
                <c:pt idx="21">
                  <c:v>53946.737900000007</c:v>
                </c:pt>
                <c:pt idx="22">
                  <c:v>53263.867800000007</c:v>
                </c:pt>
                <c:pt idx="23">
                  <c:v>52580.9977</c:v>
                </c:pt>
                <c:pt idx="24">
                  <c:v>51898.127600000007</c:v>
                </c:pt>
                <c:pt idx="25">
                  <c:v>51215.257500000007</c:v>
                </c:pt>
                <c:pt idx="26">
                  <c:v>50532.387400000007</c:v>
                </c:pt>
                <c:pt idx="27">
                  <c:v>49849.517300000007</c:v>
                </c:pt>
                <c:pt idx="28">
                  <c:v>49166.647199999999</c:v>
                </c:pt>
                <c:pt idx="29">
                  <c:v>48483.777099999999</c:v>
                </c:pt>
                <c:pt idx="30">
                  <c:v>47800.907000000007</c:v>
                </c:pt>
              </c:numCache>
            </c:numRef>
          </c:val>
          <c:smooth val="0"/>
          <c:extLst>
            <c:ext xmlns:c16="http://schemas.microsoft.com/office/drawing/2014/chart" uri="{C3380CC4-5D6E-409C-BE32-E72D297353CC}">
              <c16:uniqueId val="{00000000-E4F5-2743-A3EE-B86B0C4C6B5F}"/>
            </c:ext>
          </c:extLst>
        </c:ser>
        <c:dLbls>
          <c:showLegendKey val="0"/>
          <c:showVal val="0"/>
          <c:showCatName val="0"/>
          <c:showSerName val="0"/>
          <c:showPercent val="0"/>
          <c:showBubbleSize val="0"/>
        </c:dLbls>
        <c:smooth val="0"/>
        <c:axId val="50010001"/>
        <c:axId val="50010002"/>
      </c:lineChart>
      <c:catAx>
        <c:axId val="50010001"/>
        <c:scaling>
          <c:orientation val="minMax"/>
        </c:scaling>
        <c:delete val="0"/>
        <c:axPos val="b"/>
        <c:numFmt formatCode="0.00%"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numFmt formatCode="&quot;₹&quot;#,##0.00"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Profit vs Sales (Regression)</a:t>
            </a:r>
          </a:p>
        </c:rich>
      </c:tx>
      <c:overlay val="0"/>
    </c:title>
    <c:autoTitleDeleted val="0"/>
    <c:plotArea>
      <c:layout/>
      <c:scatterChart>
        <c:scatterStyle val="lineMarker"/>
        <c:varyColors val="0"/>
        <c:ser>
          <c:idx val="0"/>
          <c:order val="0"/>
          <c:xVal>
            <c:numRef>
              <c:f>'Task3 - Regression'!$A$8:$A$207</c:f>
              <c:numCache>
                <c:formatCode>"₹"#,##0.00</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'Task3 - Regression'!$B$8:$B$207</c:f>
              <c:numCache>
                <c:formatCode>"₹"#,##0.00</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0"/>
          <c:extLst>
            <c:ext xmlns:c16="http://schemas.microsoft.com/office/drawing/2014/chart" uri="{C3380CC4-5D6E-409C-BE32-E72D297353CC}">
              <c16:uniqueId val="{00000000-F7DE-E34D-B7EE-F3B0260DF9DF}"/>
            </c:ext>
          </c:extLst>
        </c:ser>
        <c:ser>
          <c:idx val="1"/>
          <c:order val="1"/>
          <c:spPr>
            <a:ln>
              <a:prstDash val="dash"/>
            </a:ln>
          </c:spPr>
          <c:xVal>
            <c:numRef>
              <c:f>'Task3 - Regression'!$A$8:$A$207</c:f>
              <c:numCache>
                <c:formatCode>"₹"#,##0.00</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'Task3 - Regression'!$C$8:$C$207</c:f>
              <c:numCache>
                <c:formatCode>"₹"#,##0.00</c:formatCode>
                <c:ptCount val="200"/>
                <c:pt idx="0">
                  <c:v>362.48683031889311</c:v>
                </c:pt>
                <c:pt idx="1">
                  <c:v>385.35913218933308</c:v>
                </c:pt>
                <c:pt idx="2">
                  <c:v>249.24806012891739</c:v>
                </c:pt>
                <c:pt idx="3">
                  <c:v>265.94529660712323</c:v>
                </c:pt>
                <c:pt idx="4">
                  <c:v>296.14347151107751</c:v>
                </c:pt>
                <c:pt idx="5">
                  <c:v>337.76902595054668</c:v>
                </c:pt>
                <c:pt idx="6">
                  <c:v>461.23173963652829</c:v>
                </c:pt>
                <c:pt idx="7">
                  <c:v>375.95268314582188</c:v>
                </c:pt>
                <c:pt idx="8">
                  <c:v>174.93676182919049</c:v>
                </c:pt>
                <c:pt idx="9">
                  <c:v>257.65807816595452</c:v>
                </c:pt>
                <c:pt idx="10">
                  <c:v>550.80176486286098</c:v>
                </c:pt>
                <c:pt idx="11">
                  <c:v>470.21365293432342</c:v>
                </c:pt>
                <c:pt idx="12">
                  <c:v>417.04142792335261</c:v>
                </c:pt>
                <c:pt idx="13">
                  <c:v>287.47031148289398</c:v>
                </c:pt>
                <c:pt idx="14">
                  <c:v>181.99949287155829</c:v>
                </c:pt>
                <c:pt idx="15">
                  <c:v>526.28043984790395</c:v>
                </c:pt>
                <c:pt idx="16">
                  <c:v>306.87264763008432</c:v>
                </c:pt>
                <c:pt idx="17">
                  <c:v>222.3584571936432</c:v>
                </c:pt>
                <c:pt idx="18">
                  <c:v>527.40668757001026</c:v>
                </c:pt>
                <c:pt idx="19">
                  <c:v>225.2775790154266</c:v>
                </c:pt>
                <c:pt idx="20">
                  <c:v>333.43946305621893</c:v>
                </c:pt>
                <c:pt idx="21">
                  <c:v>135.29705228290561</c:v>
                </c:pt>
                <c:pt idx="22">
                  <c:v>259.71409425677791</c:v>
                </c:pt>
                <c:pt idx="23">
                  <c:v>246.8025938911974</c:v>
                </c:pt>
                <c:pt idx="24">
                  <c:v>323.61900394663741</c:v>
                </c:pt>
                <c:pt idx="25">
                  <c:v>410.56462638127061</c:v>
                </c:pt>
                <c:pt idx="26">
                  <c:v>235.9857037751417</c:v>
                </c:pt>
                <c:pt idx="27">
                  <c:v>328.45379946396622</c:v>
                </c:pt>
                <c:pt idx="28">
                  <c:v>343.97917694160037</c:v>
                </c:pt>
                <c:pt idx="29">
                  <c:v>280.07777581162281</c:v>
                </c:pt>
                <c:pt idx="30">
                  <c:v>507.95874014435469</c:v>
                </c:pt>
                <c:pt idx="31">
                  <c:v>357.96780519093988</c:v>
                </c:pt>
                <c:pt idx="32">
                  <c:v>298.50122375174868</c:v>
                </c:pt>
                <c:pt idx="33">
                  <c:v>338.55845192398567</c:v>
                </c:pt>
                <c:pt idx="34">
                  <c:v>420.31140573333118</c:v>
                </c:pt>
                <c:pt idx="35">
                  <c:v>164.7058012134207</c:v>
                </c:pt>
                <c:pt idx="36">
                  <c:v>294.01026710285112</c:v>
                </c:pt>
                <c:pt idx="37">
                  <c:v>493.69644422422289</c:v>
                </c:pt>
                <c:pt idx="38">
                  <c:v>270.21170542357589</c:v>
                </c:pt>
                <c:pt idx="39">
                  <c:v>202.61579073790369</c:v>
                </c:pt>
                <c:pt idx="40">
                  <c:v>402.87737167991548</c:v>
                </c:pt>
                <c:pt idx="41">
                  <c:v>358.93967627824043</c:v>
                </c:pt>
                <c:pt idx="42">
                  <c:v>194.19173846133879</c:v>
                </c:pt>
                <c:pt idx="43">
                  <c:v>293.98570718367739</c:v>
                </c:pt>
                <c:pt idx="44">
                  <c:v>429.55646102227257</c:v>
                </c:pt>
                <c:pt idx="45">
                  <c:v>299.54677459657012</c:v>
                </c:pt>
                <c:pt idx="46">
                  <c:v>428.91439456387559</c:v>
                </c:pt>
                <c:pt idx="47">
                  <c:v>350.37528160639749</c:v>
                </c:pt>
                <c:pt idx="48">
                  <c:v>415.38187909918969</c:v>
                </c:pt>
                <c:pt idx="49">
                  <c:v>271.03972555571647</c:v>
                </c:pt>
                <c:pt idx="50">
                  <c:v>357.35731577148039</c:v>
                </c:pt>
                <c:pt idx="51">
                  <c:v>429.33542174970972</c:v>
                </c:pt>
                <c:pt idx="52">
                  <c:v>380.32434875873309</c:v>
                </c:pt>
                <c:pt idx="53">
                  <c:v>329.79056077898957</c:v>
                </c:pt>
                <c:pt idx="54">
                  <c:v>286.24933264397498</c:v>
                </c:pt>
                <c:pt idx="55">
                  <c:v>321.419136900654</c:v>
                </c:pt>
                <c:pt idx="56">
                  <c:v>340.44254858059361</c:v>
                </c:pt>
                <c:pt idx="57">
                  <c:v>259.1667589151935</c:v>
                </c:pt>
                <c:pt idx="58">
                  <c:v>437.12442468764141</c:v>
                </c:pt>
                <c:pt idx="59">
                  <c:v>476.25890161092531</c:v>
                </c:pt>
                <c:pt idx="60">
                  <c:v>484.30753798012142</c:v>
                </c:pt>
                <c:pt idx="61">
                  <c:v>170.5335191773417</c:v>
                </c:pt>
                <c:pt idx="62">
                  <c:v>326.56619424747652</c:v>
                </c:pt>
                <c:pt idx="63">
                  <c:v>351.76467131965012</c:v>
                </c:pt>
                <c:pt idx="64">
                  <c:v>384.94512212326282</c:v>
                </c:pt>
                <c:pt idx="65">
                  <c:v>361.9991404953019</c:v>
                </c:pt>
                <c:pt idx="66">
                  <c:v>306.47267180354191</c:v>
                </c:pt>
                <c:pt idx="67">
                  <c:v>480.11130036130783</c:v>
                </c:pt>
                <c:pt idx="68">
                  <c:v>356.93278002576432</c:v>
                </c:pt>
                <c:pt idx="69">
                  <c:v>281.34085736912522</c:v>
                </c:pt>
                <c:pt idx="70">
                  <c:v>212.520455284652</c:v>
                </c:pt>
                <c:pt idx="71">
                  <c:v>343.22834512686279</c:v>
                </c:pt>
                <c:pt idx="72">
                  <c:v>188.34998625789001</c:v>
                </c:pt>
                <c:pt idx="73">
                  <c:v>281.21454921337499</c:v>
                </c:pt>
                <c:pt idx="74">
                  <c:v>534.58520108848245</c:v>
                </c:pt>
                <c:pt idx="75">
                  <c:v>425.34969772381311</c:v>
                </c:pt>
                <c:pt idx="76">
                  <c:v>441.51714165984441</c:v>
                </c:pt>
                <c:pt idx="77">
                  <c:v>180.73641131405591</c:v>
                </c:pt>
                <c:pt idx="78">
                  <c:v>388.88874343057603</c:v>
                </c:pt>
                <c:pt idx="79">
                  <c:v>452.0884325841634</c:v>
                </c:pt>
                <c:pt idx="80">
                  <c:v>237.44877324591539</c:v>
                </c:pt>
                <c:pt idx="81">
                  <c:v>400.23893464868831</c:v>
                </c:pt>
                <c:pt idx="82">
                  <c:v>276.17274866301108</c:v>
                </c:pt>
                <c:pt idx="83">
                  <c:v>374.6229389505624</c:v>
                </c:pt>
                <c:pt idx="84">
                  <c:v>409.08050555120542</c:v>
                </c:pt>
                <c:pt idx="85">
                  <c:v>467.66643846002682</c:v>
                </c:pt>
                <c:pt idx="86">
                  <c:v>305.51132639588718</c:v>
                </c:pt>
                <c:pt idx="87">
                  <c:v>505.59747934380152</c:v>
                </c:pt>
                <c:pt idx="88">
                  <c:v>403.97204236308431</c:v>
                </c:pt>
                <c:pt idx="89">
                  <c:v>442.62233802265899</c:v>
                </c:pt>
                <c:pt idx="90">
                  <c:v>385.45386330614582</c:v>
                </c:pt>
                <c:pt idx="91">
                  <c:v>254.29687779904521</c:v>
                </c:pt>
                <c:pt idx="92">
                  <c:v>306.11129013570081</c:v>
                </c:pt>
                <c:pt idx="93">
                  <c:v>405.58948846866389</c:v>
                </c:pt>
                <c:pt idx="94">
                  <c:v>338.0005909027555</c:v>
                </c:pt>
                <c:pt idx="95">
                  <c:v>320.87180155906958</c:v>
                </c:pt>
                <c:pt idx="96">
                  <c:v>410.5119979830414</c:v>
                </c:pt>
                <c:pt idx="97">
                  <c:v>422.03761719525107</c:v>
                </c:pt>
                <c:pt idx="98">
                  <c:v>289.1017918280013</c:v>
                </c:pt>
                <c:pt idx="99">
                  <c:v>315.50721349956632</c:v>
                </c:pt>
                <c:pt idx="100">
                  <c:v>204.55953291250469</c:v>
                </c:pt>
                <c:pt idx="101">
                  <c:v>346.382540460737</c:v>
                </c:pt>
                <c:pt idx="102">
                  <c:v>354.76799857860038</c:v>
                </c:pt>
                <c:pt idx="103">
                  <c:v>323.61198682687348</c:v>
                </c:pt>
                <c:pt idx="104">
                  <c:v>450.3587125623614</c:v>
                </c:pt>
                <c:pt idx="105">
                  <c:v>336.35858487800232</c:v>
                </c:pt>
                <c:pt idx="106">
                  <c:v>378.29289258708337</c:v>
                </c:pt>
                <c:pt idx="107">
                  <c:v>673.89607976123773</c:v>
                </c:pt>
                <c:pt idx="108">
                  <c:v>254.6407166674764</c:v>
                </c:pt>
                <c:pt idx="109">
                  <c:v>455.74435198115663</c:v>
                </c:pt>
                <c:pt idx="110">
                  <c:v>342.8704720189038</c:v>
                </c:pt>
                <c:pt idx="111">
                  <c:v>243.7150611950803</c:v>
                </c:pt>
                <c:pt idx="112">
                  <c:v>417.75366557938872</c:v>
                </c:pt>
                <c:pt idx="113">
                  <c:v>269.48543352801198</c:v>
                </c:pt>
                <c:pt idx="114">
                  <c:v>230.91583474572221</c:v>
                </c:pt>
                <c:pt idx="115">
                  <c:v>240.64857985825489</c:v>
                </c:pt>
                <c:pt idx="116">
                  <c:v>437.22266436433603</c:v>
                </c:pt>
                <c:pt idx="117">
                  <c:v>354.81360985706579</c:v>
                </c:pt>
                <c:pt idx="118">
                  <c:v>353.53649406003552</c:v>
                </c:pt>
                <c:pt idx="119">
                  <c:v>334.83937844911742</c:v>
                </c:pt>
                <c:pt idx="120">
                  <c:v>377.16313630509512</c:v>
                </c:pt>
                <c:pt idx="121">
                  <c:v>407.01747234061799</c:v>
                </c:pt>
                <c:pt idx="122">
                  <c:v>354.93290089305208</c:v>
                </c:pt>
                <c:pt idx="123">
                  <c:v>250.89708327343439</c:v>
                </c:pt>
                <c:pt idx="124">
                  <c:v>447.3097740249458</c:v>
                </c:pt>
                <c:pt idx="125">
                  <c:v>246.9289020469476</c:v>
                </c:pt>
                <c:pt idx="126">
                  <c:v>493.88239789796631</c:v>
                </c:pt>
                <c:pt idx="127">
                  <c:v>472.73981604932828</c:v>
                </c:pt>
                <c:pt idx="128">
                  <c:v>321.46825673900128</c:v>
                </c:pt>
                <c:pt idx="129">
                  <c:v>89.66823101812993</c:v>
                </c:pt>
                <c:pt idx="130">
                  <c:v>424.72517406482581</c:v>
                </c:pt>
                <c:pt idx="131">
                  <c:v>402.55107561089409</c:v>
                </c:pt>
                <c:pt idx="132">
                  <c:v>298.55034359009602</c:v>
                </c:pt>
                <c:pt idx="133">
                  <c:v>371.24068722436141</c:v>
                </c:pt>
                <c:pt idx="134">
                  <c:v>312.82667374975551</c:v>
                </c:pt>
                <c:pt idx="135">
                  <c:v>291.55076662560327</c:v>
                </c:pt>
                <c:pt idx="136">
                  <c:v>286.73702246756619</c:v>
                </c:pt>
                <c:pt idx="137">
                  <c:v>178.51549290878069</c:v>
                </c:pt>
                <c:pt idx="138">
                  <c:v>281.76890167472328</c:v>
                </c:pt>
                <c:pt idx="139">
                  <c:v>501.55912691967558</c:v>
                </c:pt>
                <c:pt idx="140">
                  <c:v>521.24565641730385</c:v>
                </c:pt>
                <c:pt idx="141">
                  <c:v>430.96339353493511</c:v>
                </c:pt>
                <c:pt idx="142">
                  <c:v>406.54732531643663</c:v>
                </c:pt>
                <c:pt idx="143">
                  <c:v>135.1812698068012</c:v>
                </c:pt>
                <c:pt idx="144">
                  <c:v>556.62597426690013</c:v>
                </c:pt>
                <c:pt idx="145">
                  <c:v>117.0876264955787</c:v>
                </c:pt>
                <c:pt idx="146">
                  <c:v>473.95377776848341</c:v>
                </c:pt>
                <c:pt idx="147">
                  <c:v>231.44913584777879</c:v>
                </c:pt>
                <c:pt idx="148">
                  <c:v>107.5303093771436</c:v>
                </c:pt>
                <c:pt idx="149">
                  <c:v>309.34618234685979</c:v>
                </c:pt>
                <c:pt idx="150">
                  <c:v>260.37370351458469</c:v>
                </c:pt>
                <c:pt idx="151">
                  <c:v>304.29385611685012</c:v>
                </c:pt>
                <c:pt idx="152">
                  <c:v>301.47297397176129</c:v>
                </c:pt>
                <c:pt idx="153">
                  <c:v>409.88396576417222</c:v>
                </c:pt>
                <c:pt idx="154">
                  <c:v>368.96714042085699</c:v>
                </c:pt>
                <c:pt idx="155">
                  <c:v>588.83104542333035</c:v>
                </c:pt>
                <c:pt idx="156">
                  <c:v>132.21302814667041</c:v>
                </c:pt>
                <c:pt idx="157">
                  <c:v>376.60527528386478</c:v>
                </c:pt>
                <c:pt idx="158">
                  <c:v>437.78754250533018</c:v>
                </c:pt>
                <c:pt idx="159">
                  <c:v>391.34473534794188</c:v>
                </c:pt>
                <c:pt idx="160">
                  <c:v>568.27439307497809</c:v>
                </c:pt>
                <c:pt idx="161">
                  <c:v>223.74082978713199</c:v>
                </c:pt>
                <c:pt idx="162">
                  <c:v>204.27533956206659</c:v>
                </c:pt>
                <c:pt idx="163">
                  <c:v>388.41157928663068</c:v>
                </c:pt>
                <c:pt idx="164">
                  <c:v>384.2363930271087</c:v>
                </c:pt>
                <c:pt idx="165">
                  <c:v>289.21406574422377</c:v>
                </c:pt>
                <c:pt idx="166">
                  <c:v>259.26149003200618</c:v>
                </c:pt>
                <c:pt idx="167">
                  <c:v>459.03187259054488</c:v>
                </c:pt>
                <c:pt idx="168">
                  <c:v>200.1212046618364</c:v>
                </c:pt>
                <c:pt idx="169">
                  <c:v>390.25006466477311</c:v>
                </c:pt>
                <c:pt idx="170">
                  <c:v>295.73647856477112</c:v>
                </c:pt>
                <c:pt idx="171">
                  <c:v>360.27994615314577</c:v>
                </c:pt>
                <c:pt idx="172">
                  <c:v>416.42742994401112</c:v>
                </c:pt>
                <c:pt idx="173">
                  <c:v>246.06930487586951</c:v>
                </c:pt>
                <c:pt idx="174">
                  <c:v>566.73062672691958</c:v>
                </c:pt>
                <c:pt idx="175">
                  <c:v>354.88728961458668</c:v>
                </c:pt>
                <c:pt idx="176">
                  <c:v>289.11582606752921</c:v>
                </c:pt>
                <c:pt idx="177">
                  <c:v>357.62396632250869</c:v>
                </c:pt>
                <c:pt idx="178">
                  <c:v>384.80127116810291</c:v>
                </c:pt>
                <c:pt idx="179">
                  <c:v>248.25864624220711</c:v>
                </c:pt>
                <c:pt idx="180">
                  <c:v>174.10874169704999</c:v>
                </c:pt>
                <c:pt idx="181">
                  <c:v>372.34588358717599</c:v>
                </c:pt>
                <c:pt idx="182">
                  <c:v>152.9100228903007</c:v>
                </c:pt>
                <c:pt idx="183">
                  <c:v>302.45186217882571</c:v>
                </c:pt>
                <c:pt idx="184">
                  <c:v>344.5370379628306</c:v>
                </c:pt>
                <c:pt idx="185">
                  <c:v>522.96835931934197</c:v>
                </c:pt>
                <c:pt idx="186">
                  <c:v>240.85909345117199</c:v>
                </c:pt>
                <c:pt idx="187">
                  <c:v>238.33643889604909</c:v>
                </c:pt>
                <c:pt idx="188">
                  <c:v>159.84995433680021</c:v>
                </c:pt>
                <c:pt idx="189">
                  <c:v>414.46965352988241</c:v>
                </c:pt>
                <c:pt idx="190">
                  <c:v>266.36983235283941</c:v>
                </c:pt>
                <c:pt idx="191">
                  <c:v>262.35954840776913</c:v>
                </c:pt>
                <c:pt idx="192">
                  <c:v>510.1445729508103</c:v>
                </c:pt>
                <c:pt idx="193">
                  <c:v>382.5873698825917</c:v>
                </c:pt>
                <c:pt idx="194">
                  <c:v>326.76267360086581</c:v>
                </c:pt>
                <c:pt idx="195">
                  <c:v>513.09527181153123</c:v>
                </c:pt>
                <c:pt idx="196">
                  <c:v>258.88256556475551</c:v>
                </c:pt>
                <c:pt idx="197">
                  <c:v>190.33933971095641</c:v>
                </c:pt>
                <c:pt idx="198">
                  <c:v>348.98589189314481</c:v>
                </c:pt>
                <c:pt idx="199">
                  <c:v>324.67508047110482</c:v>
                </c:pt>
              </c:numCache>
            </c:numRef>
          </c:yVal>
          <c:smooth val="0"/>
          <c:extLst>
            <c:ext xmlns:c16="http://schemas.microsoft.com/office/drawing/2014/chart" uri="{C3380CC4-5D6E-409C-BE32-E72D297353CC}">
              <c16:uniqueId val="{00000001-F7DE-E34D-B7EE-F3B0260DF9DF}"/>
            </c:ext>
          </c:extLst>
        </c:ser>
        <c:dLbls>
          <c:showLegendKey val="0"/>
          <c:showVal val="0"/>
          <c:showCatName val="0"/>
          <c:showSerName val="0"/>
          <c:showPercent val="0"/>
          <c:showBubbleSize val="0"/>
        </c:dLbls>
        <c:axId val="50020001"/>
        <c:axId val="50020002"/>
      </c:scatterChart>
      <c:valAx>
        <c:axId val="50020001"/>
        <c:scaling>
          <c:orientation val="minMax"/>
        </c:scaling>
        <c:delete val="0"/>
        <c:axPos val="b"/>
        <c:numFmt formatCode="&quot;₹&quot;#,##0.00" sourceLinked="1"/>
        <c:majorTickMark val="out"/>
        <c:minorTickMark val="none"/>
        <c:tickLblPos val="nextTo"/>
        <c:crossAx val="50020002"/>
        <c:crosses val="autoZero"/>
        <c:crossBetween val="midCat"/>
      </c:valAx>
      <c:valAx>
        <c:axId val="50020002"/>
        <c:scaling>
          <c:orientation val="minMax"/>
        </c:scaling>
        <c:delete val="0"/>
        <c:axPos val="l"/>
        <c:majorGridlines/>
        <c:numFmt formatCode="&quot;₹&quot;#,##0.00" sourceLinked="1"/>
        <c:majorTickMark val="out"/>
        <c:minorTickMark val="none"/>
        <c:tickLblPos val="nextTo"/>
        <c:crossAx val="50020001"/>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Sales Trend</a:t>
            </a:r>
          </a:p>
        </c:rich>
      </c:tx>
      <c:overlay val="0"/>
    </c:title>
    <c:autoTitleDeleted val="0"/>
    <c:plotArea>
      <c:layout/>
      <c:lineChart>
        <c:grouping val="standard"/>
        <c:varyColors val="0"/>
        <c:ser>
          <c:idx val="0"/>
          <c:order val="0"/>
          <c:tx>
            <c:v>Monthly Sales</c:v>
          </c:tx>
          <c:marker>
            <c:symbol val="none"/>
          </c:marker>
          <c:cat>
            <c:numRef>
              <c:f>'Task5 - Monthly'!$A$2:$A$14</c:f>
              <c:numCache>
                <c:formatCode>[$-F800]dddd\,\ mmmm\ dd\,\ 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'Task5 - Monthly'!$B$2:$B$14</c:f>
              <c:numCache>
                <c:formatCode>"₹"#,##0.00</c:formatCode>
                <c:ptCount val="13"/>
                <c:pt idx="0">
                  <c:v>19029.96</c:v>
                </c:pt>
                <c:pt idx="1">
                  <c:v>18507.34</c:v>
                </c:pt>
                <c:pt idx="2">
                  <c:v>20187.509999999998</c:v>
                </c:pt>
                <c:pt idx="3">
                  <c:v>11609.04</c:v>
                </c:pt>
                <c:pt idx="4">
                  <c:v>10091.700000000001</c:v>
                </c:pt>
                <c:pt idx="5">
                  <c:v>20533.5</c:v>
                </c:pt>
                <c:pt idx="6">
                  <c:v>14215.24</c:v>
                </c:pt>
                <c:pt idx="7">
                  <c:v>20135.03</c:v>
                </c:pt>
                <c:pt idx="8">
                  <c:v>11120.04</c:v>
                </c:pt>
                <c:pt idx="9">
                  <c:v>14914.65</c:v>
                </c:pt>
                <c:pt idx="10">
                  <c:v>14006.36</c:v>
                </c:pt>
                <c:pt idx="11">
                  <c:v>17655.22</c:v>
                </c:pt>
                <c:pt idx="12">
                  <c:v>3212.17</c:v>
                </c:pt>
              </c:numCache>
            </c:numRef>
          </c:val>
          <c:smooth val="0"/>
          <c:extLst>
            <c:ext xmlns:c16="http://schemas.microsoft.com/office/drawing/2014/chart" uri="{C3380CC4-5D6E-409C-BE32-E72D297353CC}">
              <c16:uniqueId val="{00000000-CCF1-CC44-92ED-576FF08C517F}"/>
            </c:ext>
          </c:extLst>
        </c:ser>
        <c:dLbls>
          <c:showLegendKey val="0"/>
          <c:showVal val="0"/>
          <c:showCatName val="0"/>
          <c:showSerName val="0"/>
          <c:showPercent val="0"/>
          <c:showBubbleSize val="0"/>
        </c:dLbls>
        <c:smooth val="0"/>
        <c:axId val="50030001"/>
        <c:axId val="50030002"/>
      </c:lineChart>
      <c:dateAx>
        <c:axId val="50030001"/>
        <c:scaling>
          <c:orientation val="minMax"/>
        </c:scaling>
        <c:delete val="0"/>
        <c:axPos val="b"/>
        <c:numFmt formatCode="[$-F800]dddd\,\ mmmm\ dd\,\ yyyy" sourceLinked="1"/>
        <c:majorTickMark val="out"/>
        <c:minorTickMark val="none"/>
        <c:tickLblPos val="nextTo"/>
        <c:crossAx val="50030002"/>
        <c:crosses val="autoZero"/>
        <c:auto val="1"/>
        <c:lblOffset val="100"/>
        <c:baseTimeUnit val="months"/>
      </c:dateAx>
      <c:valAx>
        <c:axId val="50030002"/>
        <c:scaling>
          <c:orientation val="minMax"/>
        </c:scaling>
        <c:delete val="0"/>
        <c:axPos val="l"/>
        <c:majorGridlines/>
        <c:numFmt formatCode="&quot;₹&quot;#,##0.00"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by Product (stacked by Region)</a:t>
            </a:r>
          </a:p>
        </c:rich>
      </c:tx>
      <c:overlay val="0"/>
    </c:title>
    <c:autoTitleDeleted val="0"/>
    <c:plotArea>
      <c:layout/>
      <c:barChart>
        <c:barDir val="col"/>
        <c:grouping val="stacked"/>
        <c:varyColors val="0"/>
        <c:ser>
          <c:idx val="0"/>
          <c:order val="0"/>
          <c:tx>
            <c:strRef>
              <c:f>'Task8 - PivotRp'!$B$29</c:f>
              <c:strCache>
                <c:ptCount val="1"/>
                <c:pt idx="0">
                  <c:v>Central</c:v>
                </c:pt>
              </c:strCache>
            </c:strRef>
          </c:tx>
          <c:invertIfNegative val="0"/>
          <c:cat>
            <c:strRef>
              <c:f>'Task8 - PivotRp'!$A$30:$A$34</c:f>
              <c:strCache>
                <c:ptCount val="5"/>
                <c:pt idx="0">
                  <c:v>Books</c:v>
                </c:pt>
                <c:pt idx="1">
                  <c:v>Clothing</c:v>
                </c:pt>
                <c:pt idx="2">
                  <c:v>Electronics</c:v>
                </c:pt>
                <c:pt idx="3">
                  <c:v>Furniture</c:v>
                </c:pt>
                <c:pt idx="4">
                  <c:v>Office Supplies</c:v>
                </c:pt>
              </c:strCache>
            </c:strRef>
          </c:cat>
          <c:val>
            <c:numRef>
              <c:f>'Task8 - PivotRp'!$B$30:$B$34</c:f>
              <c:numCache>
                <c:formatCode>General</c:formatCode>
                <c:ptCount val="5"/>
                <c:pt idx="0">
                  <c:v>11297.15</c:v>
                </c:pt>
                <c:pt idx="1">
                  <c:v>12200.26</c:v>
                </c:pt>
                <c:pt idx="2">
                  <c:v>6621.24</c:v>
                </c:pt>
                <c:pt idx="3">
                  <c:v>4876.96</c:v>
                </c:pt>
                <c:pt idx="4">
                  <c:v>8472.7199999999993</c:v>
                </c:pt>
              </c:numCache>
            </c:numRef>
          </c:val>
          <c:extLst>
            <c:ext xmlns:c16="http://schemas.microsoft.com/office/drawing/2014/chart" uri="{C3380CC4-5D6E-409C-BE32-E72D297353CC}">
              <c16:uniqueId val="{00000000-54CD-B243-B3EC-83CBD34CE23A}"/>
            </c:ext>
          </c:extLst>
        </c:ser>
        <c:ser>
          <c:idx val="1"/>
          <c:order val="1"/>
          <c:tx>
            <c:strRef>
              <c:f>'Task8 - PivotRp'!$C$29</c:f>
              <c:strCache>
                <c:ptCount val="1"/>
                <c:pt idx="0">
                  <c:v>East</c:v>
                </c:pt>
              </c:strCache>
            </c:strRef>
          </c:tx>
          <c:invertIfNegative val="0"/>
          <c:cat>
            <c:strRef>
              <c:f>'Task8 - PivotRp'!$A$30:$A$34</c:f>
              <c:strCache>
                <c:ptCount val="5"/>
                <c:pt idx="0">
                  <c:v>Books</c:v>
                </c:pt>
                <c:pt idx="1">
                  <c:v>Clothing</c:v>
                </c:pt>
                <c:pt idx="2">
                  <c:v>Electronics</c:v>
                </c:pt>
                <c:pt idx="3">
                  <c:v>Furniture</c:v>
                </c:pt>
                <c:pt idx="4">
                  <c:v>Office Supplies</c:v>
                </c:pt>
              </c:strCache>
            </c:strRef>
          </c:cat>
          <c:val>
            <c:numRef>
              <c:f>'Task8 - PivotRp'!$C$30:$C$34</c:f>
              <c:numCache>
                <c:formatCode>#,##0.00</c:formatCode>
                <c:ptCount val="5"/>
                <c:pt idx="0">
                  <c:v>11389.09</c:v>
                </c:pt>
                <c:pt idx="1">
                  <c:v>2401.4499999999998</c:v>
                </c:pt>
                <c:pt idx="2">
                  <c:v>2869.54</c:v>
                </c:pt>
                <c:pt idx="3">
                  <c:v>7592.34</c:v>
                </c:pt>
                <c:pt idx="4">
                  <c:v>8189.2199999999993</c:v>
                </c:pt>
              </c:numCache>
            </c:numRef>
          </c:val>
          <c:extLst>
            <c:ext xmlns:c16="http://schemas.microsoft.com/office/drawing/2014/chart" uri="{C3380CC4-5D6E-409C-BE32-E72D297353CC}">
              <c16:uniqueId val="{00000001-54CD-B243-B3EC-83CBD34CE23A}"/>
            </c:ext>
          </c:extLst>
        </c:ser>
        <c:ser>
          <c:idx val="2"/>
          <c:order val="2"/>
          <c:tx>
            <c:strRef>
              <c:f>'Task8 - PivotRp'!$D$29</c:f>
              <c:strCache>
                <c:ptCount val="1"/>
                <c:pt idx="0">
                  <c:v>North</c:v>
                </c:pt>
              </c:strCache>
            </c:strRef>
          </c:tx>
          <c:invertIfNegative val="0"/>
          <c:cat>
            <c:strRef>
              <c:f>'Task8 - PivotRp'!$A$30:$A$34</c:f>
              <c:strCache>
                <c:ptCount val="5"/>
                <c:pt idx="0">
                  <c:v>Books</c:v>
                </c:pt>
                <c:pt idx="1">
                  <c:v>Clothing</c:v>
                </c:pt>
                <c:pt idx="2">
                  <c:v>Electronics</c:v>
                </c:pt>
                <c:pt idx="3">
                  <c:v>Furniture</c:v>
                </c:pt>
                <c:pt idx="4">
                  <c:v>Office Supplies</c:v>
                </c:pt>
              </c:strCache>
            </c:strRef>
          </c:cat>
          <c:val>
            <c:numRef>
              <c:f>'Task8 - PivotRp'!$D$30:$D$34</c:f>
              <c:numCache>
                <c:formatCode>General</c:formatCode>
                <c:ptCount val="5"/>
                <c:pt idx="0">
                  <c:v>8037.01</c:v>
                </c:pt>
                <c:pt idx="1">
                  <c:v>8422.82</c:v>
                </c:pt>
                <c:pt idx="2">
                  <c:v>8191.71</c:v>
                </c:pt>
                <c:pt idx="3">
                  <c:v>6978.08</c:v>
                </c:pt>
                <c:pt idx="4">
                  <c:v>3345.8</c:v>
                </c:pt>
              </c:numCache>
            </c:numRef>
          </c:val>
          <c:extLst>
            <c:ext xmlns:c16="http://schemas.microsoft.com/office/drawing/2014/chart" uri="{C3380CC4-5D6E-409C-BE32-E72D297353CC}">
              <c16:uniqueId val="{00000002-54CD-B243-B3EC-83CBD34CE23A}"/>
            </c:ext>
          </c:extLst>
        </c:ser>
        <c:ser>
          <c:idx val="3"/>
          <c:order val="3"/>
          <c:tx>
            <c:strRef>
              <c:f>'Task8 - PivotRp'!$E$29</c:f>
              <c:strCache>
                <c:ptCount val="1"/>
                <c:pt idx="0">
                  <c:v>South</c:v>
                </c:pt>
              </c:strCache>
            </c:strRef>
          </c:tx>
          <c:invertIfNegative val="0"/>
          <c:cat>
            <c:strRef>
              <c:f>'Task8 - PivotRp'!$A$30:$A$34</c:f>
              <c:strCache>
                <c:ptCount val="5"/>
                <c:pt idx="0">
                  <c:v>Books</c:v>
                </c:pt>
                <c:pt idx="1">
                  <c:v>Clothing</c:v>
                </c:pt>
                <c:pt idx="2">
                  <c:v>Electronics</c:v>
                </c:pt>
                <c:pt idx="3">
                  <c:v>Furniture</c:v>
                </c:pt>
                <c:pt idx="4">
                  <c:v>Office Supplies</c:v>
                </c:pt>
              </c:strCache>
            </c:strRef>
          </c:cat>
          <c:val>
            <c:numRef>
              <c:f>'Task8 - PivotRp'!$E$30:$E$34</c:f>
              <c:numCache>
                <c:formatCode>General</c:formatCode>
                <c:ptCount val="5"/>
                <c:pt idx="0">
                  <c:v>9588.0400000000009</c:v>
                </c:pt>
                <c:pt idx="1">
                  <c:v>8393.6299999999992</c:v>
                </c:pt>
                <c:pt idx="2">
                  <c:v>11989.07</c:v>
                </c:pt>
                <c:pt idx="3">
                  <c:v>7982.73</c:v>
                </c:pt>
                <c:pt idx="4">
                  <c:v>2295.3200000000002</c:v>
                </c:pt>
              </c:numCache>
            </c:numRef>
          </c:val>
          <c:extLst>
            <c:ext xmlns:c16="http://schemas.microsoft.com/office/drawing/2014/chart" uri="{C3380CC4-5D6E-409C-BE32-E72D297353CC}">
              <c16:uniqueId val="{00000003-54CD-B243-B3EC-83CBD34CE23A}"/>
            </c:ext>
          </c:extLst>
        </c:ser>
        <c:ser>
          <c:idx val="4"/>
          <c:order val="4"/>
          <c:tx>
            <c:strRef>
              <c:f>'Task8 - PivotRp'!$F$29</c:f>
              <c:strCache>
                <c:ptCount val="1"/>
                <c:pt idx="0">
                  <c:v>West</c:v>
                </c:pt>
              </c:strCache>
            </c:strRef>
          </c:tx>
          <c:invertIfNegative val="0"/>
          <c:cat>
            <c:strRef>
              <c:f>'Task8 - PivotRp'!$A$30:$A$34</c:f>
              <c:strCache>
                <c:ptCount val="5"/>
                <c:pt idx="0">
                  <c:v>Books</c:v>
                </c:pt>
                <c:pt idx="1">
                  <c:v>Clothing</c:v>
                </c:pt>
                <c:pt idx="2">
                  <c:v>Electronics</c:v>
                </c:pt>
                <c:pt idx="3">
                  <c:v>Furniture</c:v>
                </c:pt>
                <c:pt idx="4">
                  <c:v>Office Supplies</c:v>
                </c:pt>
              </c:strCache>
            </c:strRef>
          </c:cat>
          <c:val>
            <c:numRef>
              <c:f>'Task8 - PivotRp'!$F$30:$F$34</c:f>
              <c:numCache>
                <c:formatCode>General</c:formatCode>
                <c:ptCount val="5"/>
                <c:pt idx="0">
                  <c:v>6691.17</c:v>
                </c:pt>
                <c:pt idx="1">
                  <c:v>10509.43</c:v>
                </c:pt>
                <c:pt idx="2">
                  <c:v>11372.44</c:v>
                </c:pt>
                <c:pt idx="3">
                  <c:v>9182.7800000000007</c:v>
                </c:pt>
                <c:pt idx="4">
                  <c:v>6327.76</c:v>
                </c:pt>
              </c:numCache>
            </c:numRef>
          </c:val>
          <c:extLst>
            <c:ext xmlns:c16="http://schemas.microsoft.com/office/drawing/2014/chart" uri="{C3380CC4-5D6E-409C-BE32-E72D297353CC}">
              <c16:uniqueId val="{00000004-54CD-B243-B3EC-83CBD34CE23A}"/>
            </c:ext>
          </c:extLst>
        </c:ser>
        <c:dLbls>
          <c:showLegendKey val="0"/>
          <c:showVal val="0"/>
          <c:showCatName val="0"/>
          <c:showSerName val="0"/>
          <c:showPercent val="0"/>
          <c:showBubbleSize val="0"/>
        </c:dLbls>
        <c:gapWidth val="150"/>
        <c:overlap val="10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numFmt formatCode="General"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Key KPIs</a:t>
            </a:r>
          </a:p>
        </c:rich>
      </c:tx>
      <c:overlay val="0"/>
    </c:title>
    <c:autoTitleDeleted val="0"/>
    <c:plotArea>
      <c:layout/>
      <c:barChart>
        <c:barDir val="col"/>
        <c:grouping val="clustered"/>
        <c:varyColors val="0"/>
        <c:ser>
          <c:idx val="0"/>
          <c:order val="0"/>
          <c:tx>
            <c:v>KPIs</c:v>
          </c:tx>
          <c:invertIfNegative val="0"/>
          <c:cat>
            <c:strRef>
              <c:f>'Task9 - Charts'!$A$2:$A$4</c:f>
              <c:strCache>
                <c:ptCount val="3"/>
                <c:pt idx="0">
                  <c:v>Total Sales</c:v>
                </c:pt>
                <c:pt idx="1">
                  <c:v>Total Profit</c:v>
                </c:pt>
                <c:pt idx="2">
                  <c:v>Avg Order Value</c:v>
                </c:pt>
              </c:strCache>
            </c:strRef>
          </c:cat>
          <c:val>
            <c:numRef>
              <c:f>'Task9 - Charts'!$B$2:$B$4</c:f>
              <c:numCache>
                <c:formatCode>#,##0.00</c:formatCode>
                <c:ptCount val="3"/>
                <c:pt idx="0">
                  <c:v>195217.76</c:v>
                </c:pt>
                <c:pt idx="1">
                  <c:v>68287.010000000009</c:v>
                </c:pt>
                <c:pt idx="2">
                  <c:v>976.08879999999999</c:v>
                </c:pt>
              </c:numCache>
            </c:numRef>
          </c:val>
          <c:extLst>
            <c:ext xmlns:c16="http://schemas.microsoft.com/office/drawing/2014/chart" uri="{C3380CC4-5D6E-409C-BE32-E72D297353CC}">
              <c16:uniqueId val="{00000000-34F3-9642-A03B-2E982A9BA5C4}"/>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numFmt formatCode="General" sourceLinked="0"/>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numFmt formatCode="#,##0.00" sourceLinked="1"/>
        <c:majorTickMark val="out"/>
        <c:minorTickMark val="none"/>
        <c:tickLblPos val="nextTo"/>
        <c:crossAx val="500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cat>
            <c:strRef>
              <c:f>'Task9 - Charts'!$A$8:$A$12</c:f>
              <c:strCache>
                <c:ptCount val="5"/>
                <c:pt idx="0">
                  <c:v>CUST015</c:v>
                </c:pt>
                <c:pt idx="1">
                  <c:v>CUST028</c:v>
                </c:pt>
                <c:pt idx="2">
                  <c:v>CUST007</c:v>
                </c:pt>
                <c:pt idx="3">
                  <c:v>CUST008</c:v>
                </c:pt>
                <c:pt idx="4">
                  <c:v>CUST026</c:v>
                </c:pt>
              </c:strCache>
            </c:strRef>
          </c:cat>
          <c:val>
            <c:numRef>
              <c:f>'Task9 - Charts'!$B$8:$B$12</c:f>
              <c:numCache>
                <c:formatCode>#,##0.00</c:formatCode>
                <c:ptCount val="5"/>
                <c:pt idx="0">
                  <c:v>11611.06</c:v>
                </c:pt>
                <c:pt idx="1">
                  <c:v>10293.870000000001</c:v>
                </c:pt>
                <c:pt idx="2">
                  <c:v>9941.8799999999992</c:v>
                </c:pt>
                <c:pt idx="3">
                  <c:v>9760.8000000000011</c:v>
                </c:pt>
                <c:pt idx="4">
                  <c:v>9371.81</c:v>
                </c:pt>
              </c:numCache>
            </c:numRef>
          </c:val>
          <c:extLst>
            <c:ext xmlns:c16="http://schemas.microsoft.com/office/drawing/2014/chart" uri="{C3380CC4-5D6E-409C-BE32-E72D297353CC}">
              <c16:uniqueId val="{00000000-F6FA-DE42-8017-F089DBFA8A55}"/>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650489</xdr:colOff>
      <xdr:row>11</xdr:row>
      <xdr:rowOff>14919</xdr:rowOff>
    </xdr:from>
    <xdr:to>
      <xdr:col>10</xdr:col>
      <xdr:colOff>625089</xdr:colOff>
      <xdr:row>39</xdr:row>
      <xdr:rowOff>164967</xdr:rowOff>
    </xdr:to>
    <xdr:graphicFrame macro="">
      <xdr:nvGraphicFramePr>
        <xdr:cNvPr id="3" name="Chart 8">
          <a:extLst>
            <a:ext uri="{FF2B5EF4-FFF2-40B4-BE49-F238E27FC236}">
              <a16:creationId xmlns:a16="http://schemas.microsoft.com/office/drawing/2014/main" id="{A0321F92-1C78-4644-B2C6-64E0B286F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139095</xdr:colOff>
      <xdr:row>11</xdr:row>
      <xdr:rowOff>43684</xdr:rowOff>
    </xdr:from>
    <xdr:to>
      <xdr:col>31</xdr:col>
      <xdr:colOff>113695</xdr:colOff>
      <xdr:row>40</xdr:row>
      <xdr:rowOff>5584</xdr:rowOff>
    </xdr:to>
    <xdr:graphicFrame macro="">
      <xdr:nvGraphicFramePr>
        <xdr:cNvPr id="4" name="Chart 7">
          <a:extLst>
            <a:ext uri="{FF2B5EF4-FFF2-40B4-BE49-F238E27FC236}">
              <a16:creationId xmlns:a16="http://schemas.microsoft.com/office/drawing/2014/main" id="{AB9E289F-A96C-404C-9762-F3DA8BDB8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21167</xdr:colOff>
      <xdr:row>11</xdr:row>
      <xdr:rowOff>37635</xdr:rowOff>
    </xdr:from>
    <xdr:to>
      <xdr:col>20</xdr:col>
      <xdr:colOff>821267</xdr:colOff>
      <xdr:row>39</xdr:row>
      <xdr:rowOff>187683</xdr:rowOff>
    </xdr:to>
    <xdr:graphicFrame macro="">
      <xdr:nvGraphicFramePr>
        <xdr:cNvPr id="5" name="Chart 5">
          <a:extLst>
            <a:ext uri="{FF2B5EF4-FFF2-40B4-BE49-F238E27FC236}">
              <a16:creationId xmlns:a16="http://schemas.microsoft.com/office/drawing/2014/main" id="{68A4B0EA-170F-9B4A-BA66-E15814288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31</xdr:col>
      <xdr:colOff>267432</xdr:colOff>
      <xdr:row>42</xdr:row>
      <xdr:rowOff>108422</xdr:rowOff>
    </xdr:from>
    <xdr:to>
      <xdr:col>41</xdr:col>
      <xdr:colOff>265551</xdr:colOff>
      <xdr:row>71</xdr:row>
      <xdr:rowOff>138525</xdr:rowOff>
    </xdr:to>
    <xdr:graphicFrame macro="">
      <xdr:nvGraphicFramePr>
        <xdr:cNvPr id="6" name="Chart 6">
          <a:extLst>
            <a:ext uri="{FF2B5EF4-FFF2-40B4-BE49-F238E27FC236}">
              <a16:creationId xmlns:a16="http://schemas.microsoft.com/office/drawing/2014/main" id="{EC425CA5-088F-874D-AB5D-DF863F4EF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275167</xdr:colOff>
      <xdr:row>11</xdr:row>
      <xdr:rowOff>39264</xdr:rowOff>
    </xdr:from>
    <xdr:to>
      <xdr:col>41</xdr:col>
      <xdr:colOff>249767</xdr:colOff>
      <xdr:row>40</xdr:row>
      <xdr:rowOff>1164</xdr:rowOff>
    </xdr:to>
    <xdr:graphicFrame macro="">
      <xdr:nvGraphicFramePr>
        <xdr:cNvPr id="7" name="Chart 3">
          <a:extLst>
            <a:ext uri="{FF2B5EF4-FFF2-40B4-BE49-F238E27FC236}">
              <a16:creationId xmlns:a16="http://schemas.microsoft.com/office/drawing/2014/main" id="{F5ACDD0A-B953-9B49-B68B-49E2292D0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611480</xdr:colOff>
      <xdr:row>42</xdr:row>
      <xdr:rowOff>47051</xdr:rowOff>
    </xdr:from>
    <xdr:to>
      <xdr:col>10</xdr:col>
      <xdr:colOff>609599</xdr:colOff>
      <xdr:row>71</xdr:row>
      <xdr:rowOff>77154</xdr:rowOff>
    </xdr:to>
    <xdr:graphicFrame macro="">
      <xdr:nvGraphicFramePr>
        <xdr:cNvPr id="8" name="Chart 4">
          <a:extLst>
            <a:ext uri="{FF2B5EF4-FFF2-40B4-BE49-F238E27FC236}">
              <a16:creationId xmlns:a16="http://schemas.microsoft.com/office/drawing/2014/main" id="{D0D9931D-7A4C-B74E-B7A7-93B7C576D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23522</xdr:colOff>
      <xdr:row>42</xdr:row>
      <xdr:rowOff>47045</xdr:rowOff>
    </xdr:from>
    <xdr:to>
      <xdr:col>21</xdr:col>
      <xdr:colOff>21641</xdr:colOff>
      <xdr:row>71</xdr:row>
      <xdr:rowOff>77148</xdr:rowOff>
    </xdr:to>
    <xdr:graphicFrame macro="">
      <xdr:nvGraphicFramePr>
        <xdr:cNvPr id="9" name="Chart 8">
          <a:extLst>
            <a:ext uri="{FF2B5EF4-FFF2-40B4-BE49-F238E27FC236}">
              <a16:creationId xmlns:a16="http://schemas.microsoft.com/office/drawing/2014/main" id="{9324BBB4-2527-864D-9030-348921A7F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141112</xdr:colOff>
      <xdr:row>42</xdr:row>
      <xdr:rowOff>70562</xdr:rowOff>
    </xdr:from>
    <xdr:to>
      <xdr:col>31</xdr:col>
      <xdr:colOff>139230</xdr:colOff>
      <xdr:row>71</xdr:row>
      <xdr:rowOff>100665</xdr:rowOff>
    </xdr:to>
    <xdr:graphicFrame macro="">
      <xdr:nvGraphicFramePr>
        <xdr:cNvPr id="10" name="Chart 9">
          <a:extLst>
            <a:ext uri="{FF2B5EF4-FFF2-40B4-BE49-F238E27FC236}">
              <a16:creationId xmlns:a16="http://schemas.microsoft.com/office/drawing/2014/main" id="{D3D42FB7-AAB5-DC4E-B3F8-B9275168A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446841</xdr:colOff>
      <xdr:row>0</xdr:row>
      <xdr:rowOff>23518</xdr:rowOff>
    </xdr:from>
    <xdr:ext cx="15287037" cy="2210741"/>
    <xdr:sp macro="" textlink="">
      <xdr:nvSpPr>
        <xdr:cNvPr id="14" name="Rectangle 13">
          <a:extLst>
            <a:ext uri="{FF2B5EF4-FFF2-40B4-BE49-F238E27FC236}">
              <a16:creationId xmlns:a16="http://schemas.microsoft.com/office/drawing/2014/main" id="{F19EC215-5474-FF48-82B5-8CC042F46040}"/>
            </a:ext>
          </a:extLst>
        </xdr:cNvPr>
        <xdr:cNvSpPr/>
      </xdr:nvSpPr>
      <xdr:spPr>
        <a:xfrm>
          <a:off x="10324619" y="23518"/>
          <a:ext cx="15287037" cy="2210741"/>
        </a:xfrm>
        <a:prstGeom prst="rect">
          <a:avLst/>
        </a:prstGeom>
        <a:noFill/>
        <a:ln w="28575">
          <a:noFill/>
        </a:ln>
      </xdr:spPr>
      <xdr:style>
        <a:lnRef idx="0">
          <a:schemeClr val="accent5"/>
        </a:lnRef>
        <a:fillRef idx="1002">
          <a:schemeClr val="dk2"/>
        </a:fillRef>
        <a:effectRef idx="3">
          <a:schemeClr val="accent5"/>
        </a:effectRef>
        <a:fontRef idx="minor">
          <a:schemeClr val="lt1"/>
        </a:fontRef>
      </xdr:style>
      <xdr:txBody>
        <a:bodyPr wrap="square" lIns="91440" tIns="45720" rIns="91440" bIns="45720">
          <a:noAutofit/>
        </a:bodyPr>
        <a:lstStyle/>
        <a:p>
          <a:pPr algn="ctr"/>
          <a:r>
            <a:rPr lang="en-GB" sz="13800" b="1" cap="none" spc="0">
              <a:ln w="9525">
                <a:solidFill>
                  <a:schemeClr val="bg1"/>
                </a:solidFill>
                <a:prstDash val="solid"/>
              </a:ln>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path path="circle">
                  <a:fillToRect l="50000" t="50000" r="50000" b="50000"/>
                </a:path>
                <a:tileRect/>
              </a:gradFill>
              <a:effectLst>
                <a:outerShdw blurRad="12700" dist="38100" dir="2700000" algn="tl" rotWithShape="0">
                  <a:schemeClr val="accent5">
                    <a:lumMod val="60000"/>
                    <a:lumOff val="40000"/>
                  </a:schemeClr>
                </a:outerShdw>
              </a:effectLst>
            </a:rPr>
            <a:t>SALES DASHBOARD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0</xdr:colOff>
      <xdr:row>16</xdr:row>
      <xdr:rowOff>161925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0</xdr:colOff>
      <xdr:row>16</xdr:row>
      <xdr:rowOff>161925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0</xdr:colOff>
      <xdr:row>16</xdr:row>
      <xdr:rowOff>161925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15</xdr:col>
      <xdr:colOff>457200</xdr:colOff>
      <xdr:row>18</xdr:row>
      <xdr:rowOff>57150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16</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10</xdr:col>
      <xdr:colOff>304800</xdr:colOff>
      <xdr:row>33</xdr:row>
      <xdr:rowOff>76200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heparthshah/Downloads/Sales%20&amp;%20Customer%20Performance%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onal Sales Patterns Reveal "/>
      <sheetName val="Navigating Volatile Monthly Sal"/>
      <sheetName val="Unlocking Value Sales and Profi"/>
      <sheetName val="1.4 AI Insights  Recommendation"/>
      <sheetName val="Strategic Insights into Top Cus"/>
      <sheetName val="Maximizing Value from High-Spen"/>
      <sheetName val="Regional Leaders and Category P"/>
      <sheetName val="2.4 AI Insights  Recommendation"/>
      <sheetName val="3 AI Report Summary"/>
    </sheetNames>
    <sheetDataSet>
      <sheetData sheetId="0">
        <row r="10">
          <cell r="A10" t="str">
            <v>South</v>
          </cell>
          <cell r="B10">
            <v>9588.0400000000009</v>
          </cell>
          <cell r="C10">
            <v>8393.6299999999992</v>
          </cell>
          <cell r="D10">
            <v>11989.07</v>
          </cell>
          <cell r="E10">
            <v>7982.73</v>
          </cell>
          <cell r="F10">
            <v>2295.3200000000002</v>
          </cell>
        </row>
        <row r="11">
          <cell r="A11" t="str">
            <v>Central</v>
          </cell>
          <cell r="B11">
            <v>11297.15</v>
          </cell>
          <cell r="C11">
            <v>12200.26</v>
          </cell>
          <cell r="D11">
            <v>6621.24</v>
          </cell>
          <cell r="E11">
            <v>4876.96</v>
          </cell>
          <cell r="F11">
            <v>8472.7199999999993</v>
          </cell>
        </row>
        <row r="12">
          <cell r="A12" t="str">
            <v>East</v>
          </cell>
          <cell r="B12">
            <v>11389.09</v>
          </cell>
          <cell r="C12">
            <v>2401.4499999999998</v>
          </cell>
          <cell r="D12">
            <v>2869.54</v>
          </cell>
          <cell r="E12">
            <v>7592.34</v>
          </cell>
          <cell r="F12">
            <v>8189.22</v>
          </cell>
        </row>
        <row r="13">
          <cell r="A13" t="str">
            <v>North</v>
          </cell>
          <cell r="B13">
            <v>8037.01</v>
          </cell>
          <cell r="C13">
            <v>8422.82</v>
          </cell>
          <cell r="D13">
            <v>8191.71</v>
          </cell>
          <cell r="E13">
            <v>6978.08</v>
          </cell>
          <cell r="F13">
            <v>3345.8</v>
          </cell>
        </row>
        <row r="14">
          <cell r="A14" t="str">
            <v>West</v>
          </cell>
          <cell r="B14">
            <v>6691.17</v>
          </cell>
          <cell r="C14">
            <v>10509.43</v>
          </cell>
          <cell r="D14">
            <v>11372.44</v>
          </cell>
          <cell r="E14">
            <v>9182.7800000000007</v>
          </cell>
          <cell r="F14">
            <v>6327.76</v>
          </cell>
        </row>
        <row r="28">
          <cell r="A28" t="str">
            <v>Office Supplies</v>
          </cell>
          <cell r="B28">
            <v>8472.7199999999993</v>
          </cell>
          <cell r="C28"/>
          <cell r="D28"/>
          <cell r="E28"/>
        </row>
        <row r="29">
          <cell r="A29" t="str">
            <v>Clothing</v>
          </cell>
          <cell r="B29">
            <v>12200.26</v>
          </cell>
          <cell r="C29"/>
          <cell r="D29"/>
          <cell r="E29"/>
        </row>
        <row r="30">
          <cell r="A30" t="str">
            <v>Electronics</v>
          </cell>
          <cell r="B30"/>
          <cell r="C30"/>
          <cell r="D30">
            <v>11989.07</v>
          </cell>
          <cell r="E30"/>
        </row>
        <row r="31">
          <cell r="A31" t="str">
            <v>Furniture</v>
          </cell>
          <cell r="B31"/>
          <cell r="C31"/>
          <cell r="D31"/>
          <cell r="E31">
            <v>9182.7800000000007</v>
          </cell>
        </row>
        <row r="32">
          <cell r="A32" t="str">
            <v>Books</v>
          </cell>
          <cell r="B32"/>
          <cell r="C32">
            <v>11389.09</v>
          </cell>
          <cell r="D32"/>
          <cell r="E32"/>
        </row>
      </sheetData>
      <sheetData sheetId="1">
        <row r="10">
          <cell r="A10" t="str">
            <v>2024-04-01</v>
          </cell>
          <cell r="B10">
            <v>19029.96</v>
          </cell>
        </row>
        <row r="11">
          <cell r="A11" t="str">
            <v>2024-05-01</v>
          </cell>
          <cell r="B11">
            <v>18507.34</v>
          </cell>
        </row>
        <row r="12">
          <cell r="A12" t="str">
            <v>2024-06-01</v>
          </cell>
          <cell r="B12">
            <v>20187.509999999998</v>
          </cell>
        </row>
        <row r="13">
          <cell r="A13" t="str">
            <v>2024-07-01</v>
          </cell>
          <cell r="B13">
            <v>11609.04</v>
          </cell>
        </row>
        <row r="14">
          <cell r="A14" t="str">
            <v>2024-08-01</v>
          </cell>
          <cell r="B14">
            <v>10091.700000000001</v>
          </cell>
        </row>
        <row r="15">
          <cell r="A15" t="str">
            <v>2024-09-01</v>
          </cell>
          <cell r="B15">
            <v>20533.5</v>
          </cell>
        </row>
        <row r="16">
          <cell r="A16" t="str">
            <v>2024-10-01</v>
          </cell>
          <cell r="B16">
            <v>14215.24</v>
          </cell>
        </row>
        <row r="17">
          <cell r="A17" t="str">
            <v>2024-11-01</v>
          </cell>
          <cell r="B17">
            <v>20135.03</v>
          </cell>
        </row>
        <row r="18">
          <cell r="A18" t="str">
            <v>2024-12-01</v>
          </cell>
          <cell r="B18">
            <v>11120.04</v>
          </cell>
        </row>
        <row r="19">
          <cell r="A19" t="str">
            <v>2025-01-01</v>
          </cell>
          <cell r="B19">
            <v>14914.65</v>
          </cell>
        </row>
        <row r="20">
          <cell r="A20" t="str">
            <v>2025-02-01</v>
          </cell>
          <cell r="B20">
            <v>14006.36</v>
          </cell>
        </row>
        <row r="21">
          <cell r="A21" t="str">
            <v>2025-03-01</v>
          </cell>
          <cell r="B21">
            <v>17655.22</v>
          </cell>
        </row>
        <row r="22">
          <cell r="A22" t="str">
            <v>2025-04-01</v>
          </cell>
          <cell r="B22">
            <v>3212.17</v>
          </cell>
        </row>
        <row r="29">
          <cell r="A29" t="str">
            <v>2024-04-01</v>
          </cell>
          <cell r="B29">
            <v>0</v>
          </cell>
        </row>
        <row r="30">
          <cell r="A30" t="str">
            <v>2024-05-01</v>
          </cell>
          <cell r="B30">
            <v>-2.7E-2</v>
          </cell>
        </row>
        <row r="31">
          <cell r="A31" t="str">
            <v>2024-06-01</v>
          </cell>
          <cell r="B31">
            <v>9.0999999999999998E-2</v>
          </cell>
        </row>
        <row r="32">
          <cell r="A32" t="str">
            <v>2024-07-01</v>
          </cell>
          <cell r="B32">
            <v>-0.42499999999999999</v>
          </cell>
        </row>
        <row r="33">
          <cell r="A33" t="str">
            <v>2024-08-01</v>
          </cell>
          <cell r="B33">
            <v>-0.13100000000000001</v>
          </cell>
        </row>
        <row r="34">
          <cell r="A34" t="str">
            <v>2024-09-01</v>
          </cell>
          <cell r="B34">
            <v>1.0349999999999999</v>
          </cell>
        </row>
        <row r="35">
          <cell r="A35" t="str">
            <v>2024-10-01</v>
          </cell>
          <cell r="B35">
            <v>-0.308</v>
          </cell>
        </row>
        <row r="36">
          <cell r="A36" t="str">
            <v>2024-11-01</v>
          </cell>
          <cell r="B36">
            <v>0.41599999999999998</v>
          </cell>
        </row>
        <row r="37">
          <cell r="A37" t="str">
            <v>2024-12-01</v>
          </cell>
          <cell r="B37">
            <v>-0.44800000000000001</v>
          </cell>
        </row>
        <row r="38">
          <cell r="A38" t="str">
            <v>2025-01-01</v>
          </cell>
          <cell r="B38">
            <v>0.34100000000000003</v>
          </cell>
        </row>
        <row r="39">
          <cell r="A39" t="str">
            <v>2025-02-01</v>
          </cell>
          <cell r="B39">
            <v>-6.0999999999999999E-2</v>
          </cell>
        </row>
        <row r="40">
          <cell r="A40" t="str">
            <v>2025-03-01</v>
          </cell>
          <cell r="B40">
            <v>0.26100000000000001</v>
          </cell>
        </row>
        <row r="41">
          <cell r="A41" t="str">
            <v>2025-04-01</v>
          </cell>
          <cell r="B41">
            <v>-0.81799999999999995</v>
          </cell>
        </row>
      </sheetData>
      <sheetData sheetId="2"/>
      <sheetData sheetId="3"/>
      <sheetData sheetId="4">
        <row r="10">
          <cell r="A10" t="str">
            <v>CUST015</v>
          </cell>
          <cell r="B10">
            <v>11611.06</v>
          </cell>
        </row>
        <row r="11">
          <cell r="A11" t="str">
            <v>CUST028</v>
          </cell>
          <cell r="B11">
            <v>10293.870000000001</v>
          </cell>
        </row>
        <row r="12">
          <cell r="A12" t="str">
            <v>CUST007</v>
          </cell>
          <cell r="B12">
            <v>9941.8799999999992</v>
          </cell>
        </row>
        <row r="27">
          <cell r="B27" t="str">
            <v>Total_Purchase</v>
          </cell>
        </row>
        <row r="28">
          <cell r="A28" t="str">
            <v>Other Top 10 Customers</v>
          </cell>
          <cell r="B28">
            <v>60444.27</v>
          </cell>
        </row>
        <row r="29">
          <cell r="A29" t="str">
            <v>Top 3 Customers</v>
          </cell>
          <cell r="B29">
            <v>31846.81</v>
          </cell>
        </row>
      </sheetData>
      <sheetData sheetId="5"/>
      <sheetData sheetId="6">
        <row r="10">
          <cell r="A10" t="str">
            <v>Central</v>
          </cell>
          <cell r="B10">
            <v>902.19</v>
          </cell>
          <cell r="C10">
            <v>1277.8499999999999</v>
          </cell>
          <cell r="D10">
            <v>2130.67</v>
          </cell>
          <cell r="E10">
            <v>4919.03</v>
          </cell>
          <cell r="F10">
            <v>925.31</v>
          </cell>
          <cell r="G10">
            <v>511.74</v>
          </cell>
          <cell r="H10">
            <v>1991.13</v>
          </cell>
          <cell r="I10">
            <v>645.02</v>
          </cell>
          <cell r="J10">
            <v>3971.17</v>
          </cell>
          <cell r="K10">
            <v>1581.92</v>
          </cell>
        </row>
        <row r="11">
          <cell r="A11" t="str">
            <v>South</v>
          </cell>
          <cell r="B11">
            <v>2040.15</v>
          </cell>
          <cell r="C11">
            <v>573.32000000000005</v>
          </cell>
          <cell r="D11">
            <v>2736.91</v>
          </cell>
          <cell r="E11">
            <v>1653.03</v>
          </cell>
          <cell r="F11">
            <v>804.45</v>
          </cell>
          <cell r="G11">
            <v>2281.1799999999998</v>
          </cell>
          <cell r="H11">
            <v>967.89</v>
          </cell>
          <cell r="I11"/>
          <cell r="J11">
            <v>2705.02</v>
          </cell>
          <cell r="K11">
            <v>1086.93</v>
          </cell>
        </row>
        <row r="12">
          <cell r="A12" t="str">
            <v>East</v>
          </cell>
          <cell r="B12">
            <v>438.76</v>
          </cell>
          <cell r="C12">
            <v>2410.9499999999998</v>
          </cell>
          <cell r="D12"/>
          <cell r="E12">
            <v>3188.74</v>
          </cell>
          <cell r="F12"/>
          <cell r="G12">
            <v>1098.08</v>
          </cell>
          <cell r="H12">
            <v>2570.15</v>
          </cell>
          <cell r="I12">
            <v>3239.44</v>
          </cell>
          <cell r="J12">
            <v>983.34</v>
          </cell>
          <cell r="K12">
            <v>2401.4499999999998</v>
          </cell>
        </row>
        <row r="13">
          <cell r="A13" t="str">
            <v>North</v>
          </cell>
          <cell r="B13">
            <v>2944.61</v>
          </cell>
          <cell r="C13">
            <v>2107.4899999999998</v>
          </cell>
          <cell r="D13">
            <v>2479.2600000000002</v>
          </cell>
          <cell r="E13"/>
          <cell r="F13">
            <v>1771.13</v>
          </cell>
          <cell r="G13">
            <v>2882.11</v>
          </cell>
          <cell r="H13">
            <v>2226.08</v>
          </cell>
          <cell r="I13">
            <v>2184.54</v>
          </cell>
          <cell r="J13">
            <v>1519.12</v>
          </cell>
          <cell r="K13">
            <v>2273.25</v>
          </cell>
        </row>
        <row r="14">
          <cell r="A14" t="str">
            <v>West</v>
          </cell>
          <cell r="B14">
            <v>2164.4699999999998</v>
          </cell>
          <cell r="C14">
            <v>1443.98</v>
          </cell>
          <cell r="D14">
            <v>2595.04</v>
          </cell>
          <cell r="E14"/>
          <cell r="F14">
            <v>4838.1099999999997</v>
          </cell>
          <cell r="G14">
            <v>4837.95</v>
          </cell>
          <cell r="H14">
            <v>984.93</v>
          </cell>
          <cell r="I14">
            <v>3302.81</v>
          </cell>
          <cell r="J14">
            <v>1115.22</v>
          </cell>
          <cell r="K14">
            <v>585.16</v>
          </cell>
        </row>
        <row r="27">
          <cell r="B27" t="str">
            <v>Purchase_Count</v>
          </cell>
        </row>
        <row r="28">
          <cell r="A28" t="str">
            <v>Books</v>
          </cell>
          <cell r="B28">
            <v>20</v>
          </cell>
        </row>
        <row r="29">
          <cell r="A29" t="str">
            <v>Clothing</v>
          </cell>
          <cell r="B29">
            <v>20</v>
          </cell>
        </row>
        <row r="30">
          <cell r="A30" t="str">
            <v>Electronics</v>
          </cell>
          <cell r="B30">
            <v>20</v>
          </cell>
        </row>
        <row r="31">
          <cell r="A31" t="str">
            <v>Furniture</v>
          </cell>
          <cell r="B31">
            <v>17</v>
          </cell>
        </row>
        <row r="32">
          <cell r="A32" t="str">
            <v>Office Supplies</v>
          </cell>
          <cell r="B32">
            <v>17</v>
          </cell>
        </row>
      </sheetData>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56A78E-DCE1-394A-8C3C-E3EAF617FD66}" name="Table1" displayName="Table1" ref="A1:I201" totalsRowShown="0" headerRowDxfId="128" dataDxfId="126" headerRowBorderDxfId="127" tableBorderDxfId="125">
  <autoFilter ref="A1:I201" xr:uid="{7C56A78E-DCE1-394A-8C3C-E3EAF617FD66}"/>
  <tableColumns count="9">
    <tableColumn id="1" xr3:uid="{27944A94-12B2-8A49-B8D5-13FC17D70DCB}" name="Customer_ID" dataDxfId="124"/>
    <tableColumn id="2" xr3:uid="{FABC20C5-71B3-D04C-9FA5-4047E9448E08}" name="Customer_Name" dataDxfId="123"/>
    <tableColumn id="3" xr3:uid="{2B3AEF83-CC14-4347-A334-4F8080CF3F6F}" name="Region" dataDxfId="122"/>
    <tableColumn id="4" xr3:uid="{38390FCF-682D-CC4E-BBE2-2CE505198B6E}" name="Product_Category" dataDxfId="121"/>
    <tableColumn id="5" xr3:uid="{8E8B4BF8-6FE1-1F46-875C-E988F8D122A0}" name="Sales" dataDxfId="120"/>
    <tableColumn id="6" xr3:uid="{E444C1B4-C919-4F48-B840-EAD355EC93C6}" name="Quantity" dataDxfId="119"/>
    <tableColumn id="7" xr3:uid="{21A09076-F03D-FF4E-956B-5EB3976BF357}" name="Discount" dataDxfId="118"/>
    <tableColumn id="8" xr3:uid="{2BD6B5C9-7486-4F42-9818-BEBBD3453139}" name="Order_Date" dataDxfId="117"/>
    <tableColumn id="9" xr3:uid="{CA4F86ED-CF43-A34F-BEFD-00EC49D379BB}" name="Profit" dataDxfId="11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E0AA28-B22C-B144-99C5-D33601146E9A}" name="Table2" displayName="Table2" ref="A1:B31" totalsRowShown="0" headerRowDxfId="114" dataDxfId="112" headerRowBorderDxfId="113" tableBorderDxfId="111" totalsRowBorderDxfId="110">
  <autoFilter ref="A1:B31" xr:uid="{C1E0AA28-B22C-B144-99C5-D33601146E9A}"/>
  <tableColumns count="2">
    <tableColumn id="1" xr3:uid="{DB223923-4025-5E49-AA7B-FA8D50F0B4C4}" name="Customer_ID" dataDxfId="109"/>
    <tableColumn id="2" xr3:uid="{2BFD0737-D6AA-A541-8B5E-C92DFEA73487}" name="Total_Purchase" dataDxfId="10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7EB696-E521-924E-84D1-3342F1A4730C}" name="Table3" displayName="Table3" ref="A1:C32" totalsRowShown="0" headerRowDxfId="107" headerRowBorderDxfId="106" tableBorderDxfId="105" totalsRowBorderDxfId="104">
  <autoFilter ref="A1:C32" xr:uid="{147EB696-E521-924E-84D1-3342F1A4730C}"/>
  <tableColumns count="3">
    <tableColumn id="1" xr3:uid="{EDA92054-4242-4B47-944A-3742E16CD334}" name="Discount" dataDxfId="103"/>
    <tableColumn id="2" xr3:uid="{9F3D0B51-322F-EF4E-BF70-5E5E7F69E15D}" name="Est_Total_Sales" dataDxfId="102"/>
    <tableColumn id="3" xr3:uid="{82A3354A-2E8A-3149-B0B5-985A0EEDA1A9}" name="Est_Total_Profit" dataDxfId="10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0E46A9-FBC4-6047-9FF6-B4A4B7DA715C}" name="Table4" displayName="Table4" ref="A7:C207" totalsRowShown="0" headerRowDxfId="100" dataDxfId="98" headerRowBorderDxfId="99" tableBorderDxfId="97" totalsRowBorderDxfId="96">
  <autoFilter ref="A7:C207" xr:uid="{140E46A9-FBC4-6047-9FF6-B4A4B7DA715C}"/>
  <tableColumns count="3">
    <tableColumn id="1" xr3:uid="{79136A5C-3651-B746-8A2C-203A2996FB69}" name="Sales" dataDxfId="95"/>
    <tableColumn id="2" xr3:uid="{DC81E66F-AA01-1E46-BF4F-08E3352AEFC4}" name="Profit" dataDxfId="94"/>
    <tableColumn id="3" xr3:uid="{BB3508E3-E4DF-2E45-8B0C-77449DC808E5}" name="Predicted" dataDxfId="9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DCD680-65D1-D34B-8D59-0DA2885770F0}" name="Table5" displayName="Table5" ref="A1:B5" totalsRowShown="0" headerRowDxfId="92" headerRowBorderDxfId="91" tableBorderDxfId="90" totalsRowBorderDxfId="89">
  <autoFilter ref="A1:B5" xr:uid="{2ADCD680-65D1-D34B-8D59-0DA2885770F0}"/>
  <tableColumns count="2">
    <tableColumn id="1" xr3:uid="{B843A600-D343-874B-BEA6-23594278ABE7}" name="Metric" dataDxfId="88"/>
    <tableColumn id="2" xr3:uid="{667D1F56-DE00-2B48-B447-059CE50AE0EA}" name="Value" dataDxfId="8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67E3AD-251F-C84C-BB2C-E1B11D9C2147}" name="Table6" displayName="Table6" ref="A1:I5" totalsRowShown="0" headerRowDxfId="86" dataDxfId="84" headerRowBorderDxfId="85" tableBorderDxfId="83" totalsRowBorderDxfId="82">
  <autoFilter ref="A1:I5" xr:uid="{EA67E3AD-251F-C84C-BB2C-E1B11D9C2147}"/>
  <tableColumns count="9">
    <tableColumn id="1" xr3:uid="{03269378-FF16-9244-BD28-92FB6F13FF59}" name="Field" dataDxfId="81"/>
    <tableColumn id="2" xr3:uid="{66ECD9A1-CA3B-2646-8BE8-9565977F4B66}" name="count" dataDxfId="80"/>
    <tableColumn id="3" xr3:uid="{37B515B9-9E92-284B-8442-82A098DBD8EB}" name="mean" dataDxfId="79"/>
    <tableColumn id="4" xr3:uid="{5B9C6DB2-973F-9E41-8B65-95017A6E1785}" name="std" dataDxfId="78"/>
    <tableColumn id="5" xr3:uid="{531351BE-0C21-A042-930B-7E79FC37731C}" name="min" dataDxfId="77"/>
    <tableColumn id="6" xr3:uid="{208C1B96-96B2-AE49-84BA-96C452947B65}" name="25%" dataDxfId="76"/>
    <tableColumn id="7" xr3:uid="{3D26601D-CB7F-D549-839E-BD1086490879}" name="50%" dataDxfId="75"/>
    <tableColumn id="8" xr3:uid="{2E65F496-6055-8A4F-B304-5B8DE4DD6D52}" name="75%" dataDxfId="74"/>
    <tableColumn id="9" xr3:uid="{83C8B64D-918A-C544-882E-BE0CC768D98B}" name="max" dataDxfId="7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E0A08D-88DF-9D4B-BCB9-9259C7858677}" name="Table7" displayName="Table7" ref="A1:C14" totalsRowShown="0" headerRowDxfId="72" headerRowBorderDxfId="71" tableBorderDxfId="70" totalsRowBorderDxfId="69">
  <autoFilter ref="A1:C14" xr:uid="{2BE0A08D-88DF-9D4B-BCB9-9259C7858677}"/>
  <tableColumns count="3">
    <tableColumn id="1" xr3:uid="{E9D09A90-658E-1947-B2F2-AA9787A1F8B1}" name="Month" dataDxfId="68"/>
    <tableColumn id="2" xr3:uid="{50F57058-03C9-3045-ADD2-1B2A78913442}" name="Total_Sales" dataDxfId="67"/>
    <tableColumn id="3" xr3:uid="{4BB57268-0158-E745-8099-2D1D48BD6E84}" name="Growth" dataDxfId="66"/>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5355275-C39C-DF47-89C3-F314AA4A6A1C}" name="Table8" displayName="Table8" ref="A1:J201" totalsRowShown="0" headerRowDxfId="65" dataDxfId="63" headerRowBorderDxfId="64" tableBorderDxfId="62">
  <autoFilter ref="A1:J201" xr:uid="{15355275-C39C-DF47-89C3-F314AA4A6A1C}"/>
  <tableColumns count="10">
    <tableColumn id="1" xr3:uid="{2EA2F364-66B8-AE42-8B5B-06EEB02A64E8}" name="Customer_ID" dataDxfId="61"/>
    <tableColumn id="2" xr3:uid="{FFB7BD7D-3975-D948-88D4-EA37951A2D6E}" name="Customer_Name" dataDxfId="60"/>
    <tableColumn id="3" xr3:uid="{D8D3323C-5B23-2A4B-A717-146218C41465}" name="Region" dataDxfId="59"/>
    <tableColumn id="4" xr3:uid="{05F34FE5-8C41-3842-B596-DE2860E358B4}" name="Product_Category" dataDxfId="58"/>
    <tableColumn id="5" xr3:uid="{927CEC55-F3CA-644D-8972-6D414347F706}" name="Sales" dataDxfId="57"/>
    <tableColumn id="6" xr3:uid="{792C3096-3F34-A34A-8DEB-E0060FE7A8F9}" name="Quantity" dataDxfId="56"/>
    <tableColumn id="7" xr3:uid="{7C383A87-3D0B-A843-8CA6-DA405D778F9C}" name="Discount" dataDxfId="55"/>
    <tableColumn id="8" xr3:uid="{53D1FEC3-6250-7C41-AEA6-16ABD49BEADB}" name="Order_Date" dataDxfId="54"/>
    <tableColumn id="9" xr3:uid="{85E4669A-1DF9-8E47-9C85-0B087B517400}" name="Profit" dataDxfId="53"/>
    <tableColumn id="10" xr3:uid="{BDE30923-30CB-7247-88E1-EF5FD3A5A402}" name="Timestamp" dataDxfId="52">
      <calculatedColumnFormula>NOW()</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D56959-84F9-0C46-8CFE-D8E9B300BDD9}" name="Table9" displayName="Table9" ref="A1:B4" totalsRowShown="0" headerRowDxfId="51" headerRowBorderDxfId="50" tableBorderDxfId="49" totalsRowBorderDxfId="48">
  <autoFilter ref="A1:B4" xr:uid="{0ED56959-84F9-0C46-8CFE-D8E9B300BDD9}"/>
  <tableColumns count="2">
    <tableColumn id="1" xr3:uid="{67434D45-CC0E-E042-A53C-F57ED08562BB}" name="Customer_ID" dataDxfId="47"/>
    <tableColumn id="2" xr3:uid="{66C4C8D1-C4D3-0D45-9D14-7FF974761623}" name="Total_Purchase" dataDxfId="46"/>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77B397-D618-7847-A4C6-B227CB36F2E8}" name="Table10" displayName="Table10" ref="A6:A7" totalsRowShown="0" headerRowDxfId="45" dataDxfId="43" headerRowBorderDxfId="44" tableBorderDxfId="42" totalsRowBorderDxfId="41">
  <autoFilter ref="A6:A7" xr:uid="{5A77B397-D618-7847-A4C6-B227CB36F2E8}"/>
  <tableColumns count="1">
    <tableColumn id="1" xr3:uid="{B381A48D-447B-2846-97E7-7E3365EFDDE9}" name="INDEX/MATCH Example:" dataDxfId="40">
      <calculatedColumnFormula>INDEX(B:B, MATCH("CustomerName", A:A, 0))</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24F754-6C80-A142-8B15-3F58D6E9C1BA}" name="Table11" displayName="Table11" ref="A1:C26" totalsRowShown="0" headerRowDxfId="39" headerRowBorderDxfId="38" tableBorderDxfId="37" totalsRowBorderDxfId="36">
  <autoFilter ref="A1:C26" xr:uid="{A924F754-6C80-A142-8B15-3F58D6E9C1BA}"/>
  <tableColumns count="3">
    <tableColumn id="1" xr3:uid="{D83EF052-4D40-7345-ACD4-718590B317A9}" name="Region" dataDxfId="35"/>
    <tableColumn id="2" xr3:uid="{E36ED2A9-5FAF-B64A-A9A1-0DE1F519D2C7}" name="Product_Category" dataDxfId="34"/>
    <tableColumn id="3" xr3:uid="{7B0C49D0-EAA6-3045-B58C-D1E5045A6F23}" name="Total_Sales" dataDxfId="3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CA93004-E8E0-5A45-89A0-8043C3F49246}" name="Table12" displayName="Table12" ref="A29:F34" totalsRowShown="0" headerRowDxfId="32" dataDxfId="30" headerRowBorderDxfId="31" tableBorderDxfId="29" totalsRowBorderDxfId="28">
  <autoFilter ref="A29:F34" xr:uid="{9CA93004-E8E0-5A45-89A0-8043C3F49246}"/>
  <tableColumns count="6">
    <tableColumn id="1" xr3:uid="{6EB86368-92AC-5143-9001-20AD0B2A0A00}" name="Product_Category" dataDxfId="27"/>
    <tableColumn id="2" xr3:uid="{4B757BEB-628C-6943-8820-3AED9B6F9744}" name="Central" dataDxfId="26"/>
    <tableColumn id="3" xr3:uid="{4ABA0314-E1F0-124E-8682-07931C9D800B}" name="East" dataDxfId="25"/>
    <tableColumn id="4" xr3:uid="{D0B781DC-065A-3E47-8DB5-EF6D00A42D2D}" name="North" dataDxfId="24"/>
    <tableColumn id="5" xr3:uid="{66288EA5-FBEA-B442-8A54-6F208ECEB728}" name="South" dataDxfId="23"/>
    <tableColumn id="6" xr3:uid="{4348AC37-70FC-1346-8FDD-F7F23ED56328}" name="West" dataDxfId="22"/>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0ED8FB-3482-D146-BB11-293DAB51DE43}" name="Table13" displayName="Table13" ref="A1:B5" totalsRowShown="0" headerRowDxfId="21" headerRowBorderDxfId="20" tableBorderDxfId="19" totalsRowBorderDxfId="18">
  <autoFilter ref="A1:B5" xr:uid="{790ED8FB-3482-D146-BB11-293DAB51DE43}"/>
  <tableColumns count="2">
    <tableColumn id="1" xr3:uid="{13FC6BB0-E7C0-9941-A8FD-8D14610D382E}" name="KPI" dataDxfId="17"/>
    <tableColumn id="2" xr3:uid="{D0E00C4E-4E6D-C84C-B5E9-496EEF0EBBDF}" name="Value" dataDxfId="16"/>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4372C-2FCD-6745-9F65-58FF274F7CAB}" name="Table14" displayName="Table14" ref="A7:B12" totalsRowShown="0" headerRowDxfId="15" headerRowBorderDxfId="14" tableBorderDxfId="13" totalsRowBorderDxfId="12">
  <autoFilter ref="A7:B12" xr:uid="{B4B4372C-2FCD-6745-9F65-58FF274F7CAB}"/>
  <tableColumns count="2">
    <tableColumn id="1" xr3:uid="{D43EC98D-D29D-274D-9B84-A667DB719DE8}" name="Customer_ID" dataDxfId="11"/>
    <tableColumn id="2" xr3:uid="{AB7D600E-2D64-7B46-953B-BB91D8D8FA0B}" name="Total_Purchase" dataDxfId="10"/>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E17CD27-01B9-684C-B18D-06DAD121158C}" name="Table15" displayName="Table15" ref="A5:B16" totalsRowShown="0" headerRowBorderDxfId="9" tableBorderDxfId="8" totalsRowBorderDxfId="7">
  <autoFilter ref="A5:B16" xr:uid="{8E17CD27-01B9-684C-B18D-06DAD121158C}"/>
  <tableColumns count="2">
    <tableColumn id="1" xr3:uid="{349C4C15-6CAE-FC43-871F-2413C397C31D}" name="Column1" dataDxfId="6" dataCellStyle="Hyperlink"/>
    <tableColumn id="2" xr3:uid="{64A645BF-FC2E-F745-802F-CE76F4BDB3D8}" name="Column2" dataDxfId="5"/>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28E0969-6428-724A-93F4-B15D8E744CF9}" name="Table16" displayName="Table16" ref="D4:E8" totalsRowShown="0" headerRowBorderDxfId="4" tableBorderDxfId="3" totalsRowBorderDxfId="2">
  <autoFilter ref="D4:E8" xr:uid="{128E0969-6428-724A-93F4-B15D8E744CF9}"/>
  <tableColumns count="2">
    <tableColumn id="1" xr3:uid="{03BB0865-8366-A540-AB9F-6587BA2A5A9D}" name="Column1" dataDxfId="1"/>
    <tableColumn id="2" xr3:uid="{82997854-B723-4E44-8580-84D7A3F673FC}" name="Column2"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A091B-1D39-B045-B1CF-C0EAF3A07A5B}">
  <dimension ref="A1"/>
  <sheetViews>
    <sheetView showGridLines="0" zoomScale="54" zoomScaleNormal="54" workbookViewId="0">
      <selection activeCell="AV32" sqref="AV32"/>
    </sheetView>
  </sheetViews>
  <sheetFormatPr baseColWidth="10" defaultRowHeight="15" x14ac:dyDescent="0.2"/>
  <sheetData/>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1037-255D-FA40-B920-15C8478A0899}">
  <dimension ref="A1:A947"/>
  <sheetViews>
    <sheetView workbookViewId="0">
      <selection activeCell="B2" sqref="B2"/>
    </sheetView>
  </sheetViews>
  <sheetFormatPr baseColWidth="10" defaultColWidth="114.6640625" defaultRowHeight="19" x14ac:dyDescent="0.2"/>
  <cols>
    <col min="1" max="1" width="83.83203125" style="48" bestFit="1" customWidth="1"/>
    <col min="2" max="16384" width="114.6640625" style="48"/>
  </cols>
  <sheetData>
    <row r="1" spans="1:1" x14ac:dyDescent="0.2">
      <c r="A1" s="47" t="s">
        <v>280</v>
      </c>
    </row>
    <row r="2" spans="1:1" ht="409" customHeight="1" x14ac:dyDescent="0.2">
      <c r="A2" s="49" t="s">
        <v>283</v>
      </c>
    </row>
    <row r="929" s="48" customFormat="1" x14ac:dyDescent="0.2"/>
    <row r="930" s="48" customFormat="1" x14ac:dyDescent="0.2"/>
    <row r="931" s="48" customFormat="1" x14ac:dyDescent="0.2"/>
    <row r="932" s="48" customFormat="1" x14ac:dyDescent="0.2"/>
    <row r="933" s="48" customFormat="1" x14ac:dyDescent="0.2"/>
    <row r="934" s="48" customFormat="1" x14ac:dyDescent="0.2"/>
    <row r="935" s="48" customFormat="1" x14ac:dyDescent="0.2"/>
    <row r="936" s="48" customFormat="1" x14ac:dyDescent="0.2"/>
    <row r="937" s="48" customFormat="1" x14ac:dyDescent="0.2"/>
    <row r="938" s="48" customFormat="1" x14ac:dyDescent="0.2"/>
    <row r="939" s="48" customFormat="1" x14ac:dyDescent="0.2"/>
    <row r="940" s="48" customFormat="1" x14ac:dyDescent="0.2"/>
    <row r="941" s="48" customFormat="1" x14ac:dyDescent="0.2"/>
    <row r="942" s="48" customFormat="1" x14ac:dyDescent="0.2"/>
    <row r="943" s="48" customFormat="1" x14ac:dyDescent="0.2"/>
    <row r="944" s="48" customFormat="1" x14ac:dyDescent="0.2"/>
    <row r="945" s="48" customFormat="1" x14ac:dyDescent="0.2"/>
    <row r="946" s="48" customFormat="1" x14ac:dyDescent="0.2"/>
    <row r="947" s="48" customFormat="1" x14ac:dyDescent="0.2"/>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opLeftCell="A13" zoomScale="81" workbookViewId="0">
      <selection activeCell="I2" sqref="I2:I201"/>
    </sheetView>
  </sheetViews>
  <sheetFormatPr baseColWidth="10" defaultColWidth="8.83203125" defaultRowHeight="19" x14ac:dyDescent="0.2"/>
  <cols>
    <col min="1" max="1" width="19" style="4" bestFit="1" customWidth="1"/>
    <col min="2" max="2" width="22.6640625" style="4" bestFit="1" customWidth="1"/>
    <col min="3" max="3" width="13" style="4" bestFit="1" customWidth="1"/>
    <col min="4" max="4" width="24.1640625" style="4" bestFit="1" customWidth="1"/>
    <col min="5" max="5" width="11.1640625" style="4" bestFit="1" customWidth="1"/>
    <col min="6" max="7" width="15" style="4" bestFit="1" customWidth="1"/>
    <col min="8" max="8" width="17.6640625" style="4" bestFit="1" customWidth="1"/>
    <col min="9" max="9" width="11.5" style="4" bestFit="1" customWidth="1"/>
    <col min="10" max="16384" width="8.83203125" style="4"/>
  </cols>
  <sheetData>
    <row r="1" spans="1:9" x14ac:dyDescent="0.2">
      <c r="A1" s="3" t="s">
        <v>0</v>
      </c>
      <c r="B1" s="3" t="s">
        <v>1</v>
      </c>
      <c r="C1" s="3" t="s">
        <v>2</v>
      </c>
      <c r="D1" s="3" t="s">
        <v>3</v>
      </c>
      <c r="E1" s="3" t="s">
        <v>4</v>
      </c>
      <c r="F1" s="3" t="s">
        <v>5</v>
      </c>
      <c r="G1" s="3" t="s">
        <v>6</v>
      </c>
      <c r="H1" s="3" t="s">
        <v>7</v>
      </c>
      <c r="I1" s="3" t="s">
        <v>8</v>
      </c>
    </row>
    <row r="2" spans="1:9" x14ac:dyDescent="0.2">
      <c r="A2" s="4" t="s">
        <v>9</v>
      </c>
      <c r="B2" s="4" t="s">
        <v>39</v>
      </c>
      <c r="C2" s="4" t="s">
        <v>66</v>
      </c>
      <c r="D2" s="4" t="s">
        <v>71</v>
      </c>
      <c r="E2" s="6">
        <v>1036.0899999999999</v>
      </c>
      <c r="F2" s="7">
        <v>4</v>
      </c>
      <c r="G2" s="5">
        <v>0.2</v>
      </c>
      <c r="H2" s="8" t="s">
        <v>76</v>
      </c>
      <c r="I2" s="6">
        <v>331.55</v>
      </c>
    </row>
    <row r="3" spans="1:9" x14ac:dyDescent="0.2">
      <c r="A3" s="4" t="s">
        <v>10</v>
      </c>
      <c r="B3" s="4" t="s">
        <v>40</v>
      </c>
      <c r="C3" s="4" t="s">
        <v>66</v>
      </c>
      <c r="D3" s="4" t="s">
        <v>72</v>
      </c>
      <c r="E3" s="6">
        <v>1101.28</v>
      </c>
      <c r="F3" s="7">
        <v>3</v>
      </c>
      <c r="G3" s="5">
        <v>0.2</v>
      </c>
      <c r="H3" s="8" t="s">
        <v>77</v>
      </c>
      <c r="I3" s="6">
        <v>440.51</v>
      </c>
    </row>
    <row r="4" spans="1:9" x14ac:dyDescent="0.2">
      <c r="A4" s="4" t="s">
        <v>11</v>
      </c>
      <c r="B4" s="4" t="s">
        <v>41</v>
      </c>
      <c r="C4" s="4" t="s">
        <v>67</v>
      </c>
      <c r="D4" s="4" t="s">
        <v>71</v>
      </c>
      <c r="E4" s="6">
        <v>713.34</v>
      </c>
      <c r="F4" s="7">
        <v>17</v>
      </c>
      <c r="G4" s="5">
        <v>0</v>
      </c>
      <c r="H4" s="8" t="s">
        <v>78</v>
      </c>
      <c r="I4" s="6">
        <v>285.33999999999997</v>
      </c>
    </row>
    <row r="5" spans="1:9" x14ac:dyDescent="0.2">
      <c r="A5" s="4" t="s">
        <v>12</v>
      </c>
      <c r="B5" s="4" t="s">
        <v>40</v>
      </c>
      <c r="C5" s="4" t="s">
        <v>68</v>
      </c>
      <c r="D5" s="4" t="s">
        <v>73</v>
      </c>
      <c r="E5" s="6">
        <v>760.93</v>
      </c>
      <c r="F5" s="7">
        <v>4</v>
      </c>
      <c r="G5" s="5">
        <v>0.15</v>
      </c>
      <c r="H5" s="8" t="s">
        <v>78</v>
      </c>
      <c r="I5" s="6">
        <v>161.69999999999999</v>
      </c>
    </row>
    <row r="6" spans="1:9" x14ac:dyDescent="0.2">
      <c r="A6" s="4" t="s">
        <v>13</v>
      </c>
      <c r="B6" s="4" t="s">
        <v>42</v>
      </c>
      <c r="C6" s="4" t="s">
        <v>69</v>
      </c>
      <c r="D6" s="4" t="s">
        <v>71</v>
      </c>
      <c r="E6" s="6">
        <v>847</v>
      </c>
      <c r="F6" s="7">
        <v>12</v>
      </c>
      <c r="G6" s="5">
        <v>0.2</v>
      </c>
      <c r="H6" s="8" t="s">
        <v>79</v>
      </c>
      <c r="I6" s="6">
        <v>271.04000000000002</v>
      </c>
    </row>
    <row r="7" spans="1:9" x14ac:dyDescent="0.2">
      <c r="A7" s="4" t="s">
        <v>14</v>
      </c>
      <c r="B7" s="4" t="s">
        <v>43</v>
      </c>
      <c r="C7" s="4" t="s">
        <v>69</v>
      </c>
      <c r="D7" s="4" t="s">
        <v>74</v>
      </c>
      <c r="E7" s="6">
        <v>965.64</v>
      </c>
      <c r="F7" s="7">
        <v>8</v>
      </c>
      <c r="G7" s="5">
        <v>0.1</v>
      </c>
      <c r="H7" s="8" t="s">
        <v>80</v>
      </c>
      <c r="I7" s="6">
        <v>304.18</v>
      </c>
    </row>
    <row r="8" spans="1:9" x14ac:dyDescent="0.2">
      <c r="A8" s="4" t="s">
        <v>15</v>
      </c>
      <c r="B8" s="4" t="s">
        <v>44</v>
      </c>
      <c r="C8" s="4" t="s">
        <v>66</v>
      </c>
      <c r="D8" s="4" t="s">
        <v>73</v>
      </c>
      <c r="E8" s="6">
        <v>1317.53</v>
      </c>
      <c r="F8" s="7">
        <v>12</v>
      </c>
      <c r="G8" s="5">
        <v>0.05</v>
      </c>
      <c r="H8" s="8" t="s">
        <v>80</v>
      </c>
      <c r="I8" s="6">
        <v>312.91000000000003</v>
      </c>
    </row>
    <row r="9" spans="1:9" x14ac:dyDescent="0.2">
      <c r="A9" s="4" t="s">
        <v>16</v>
      </c>
      <c r="B9" s="4" t="s">
        <v>45</v>
      </c>
      <c r="C9" s="4" t="s">
        <v>67</v>
      </c>
      <c r="D9" s="4" t="s">
        <v>74</v>
      </c>
      <c r="E9" s="6">
        <v>1074.47</v>
      </c>
      <c r="F9" s="7">
        <v>6</v>
      </c>
      <c r="G9" s="5">
        <v>0.2</v>
      </c>
      <c r="H9" s="8" t="s">
        <v>81</v>
      </c>
      <c r="I9" s="6">
        <v>300.85000000000002</v>
      </c>
    </row>
    <row r="10" spans="1:9" x14ac:dyDescent="0.2">
      <c r="A10" s="4" t="s">
        <v>17</v>
      </c>
      <c r="B10" s="4" t="s">
        <v>46</v>
      </c>
      <c r="C10" s="4" t="s">
        <v>70</v>
      </c>
      <c r="D10" s="4" t="s">
        <v>71</v>
      </c>
      <c r="E10" s="6">
        <v>501.54</v>
      </c>
      <c r="F10" s="7">
        <v>11</v>
      </c>
      <c r="G10" s="5">
        <v>0.05</v>
      </c>
      <c r="H10" s="8" t="s">
        <v>81</v>
      </c>
      <c r="I10" s="6">
        <v>190.59</v>
      </c>
    </row>
    <row r="11" spans="1:9" x14ac:dyDescent="0.2">
      <c r="A11" s="4" t="s">
        <v>18</v>
      </c>
      <c r="B11" s="4" t="s">
        <v>47</v>
      </c>
      <c r="C11" s="4" t="s">
        <v>70</v>
      </c>
      <c r="D11" s="4" t="s">
        <v>72</v>
      </c>
      <c r="E11" s="6">
        <v>737.31</v>
      </c>
      <c r="F11" s="7">
        <v>2</v>
      </c>
      <c r="G11" s="5">
        <v>0.05</v>
      </c>
      <c r="H11" s="8" t="s">
        <v>81</v>
      </c>
      <c r="I11" s="6">
        <v>350.22</v>
      </c>
    </row>
    <row r="12" spans="1:9" x14ac:dyDescent="0.2">
      <c r="A12" s="4" t="s">
        <v>19</v>
      </c>
      <c r="B12" s="4" t="s">
        <v>48</v>
      </c>
      <c r="C12" s="4" t="s">
        <v>66</v>
      </c>
      <c r="D12" s="4" t="s">
        <v>75</v>
      </c>
      <c r="E12" s="6">
        <v>1572.82</v>
      </c>
      <c r="F12" s="7">
        <v>6</v>
      </c>
      <c r="G12" s="5">
        <v>0.05</v>
      </c>
      <c r="H12" s="8" t="s">
        <v>82</v>
      </c>
      <c r="I12" s="6">
        <v>672.38</v>
      </c>
    </row>
    <row r="13" spans="1:9" x14ac:dyDescent="0.2">
      <c r="A13" s="4" t="s">
        <v>19</v>
      </c>
      <c r="B13" s="4" t="s">
        <v>47</v>
      </c>
      <c r="C13" s="4" t="s">
        <v>70</v>
      </c>
      <c r="D13" s="4" t="s">
        <v>71</v>
      </c>
      <c r="E13" s="6">
        <v>1343.13</v>
      </c>
      <c r="F13" s="7">
        <v>14</v>
      </c>
      <c r="G13" s="5">
        <v>0.15</v>
      </c>
      <c r="H13" s="8" t="s">
        <v>83</v>
      </c>
      <c r="I13" s="6">
        <v>456.66</v>
      </c>
    </row>
    <row r="14" spans="1:9" x14ac:dyDescent="0.2">
      <c r="A14" s="4" t="s">
        <v>14</v>
      </c>
      <c r="B14" s="4" t="s">
        <v>43</v>
      </c>
      <c r="C14" s="4" t="s">
        <v>70</v>
      </c>
      <c r="D14" s="4" t="s">
        <v>71</v>
      </c>
      <c r="E14" s="6">
        <v>1191.58</v>
      </c>
      <c r="F14" s="7">
        <v>14</v>
      </c>
      <c r="G14" s="5">
        <v>0.05</v>
      </c>
      <c r="H14" s="8" t="s">
        <v>84</v>
      </c>
      <c r="I14" s="6">
        <v>452.8</v>
      </c>
    </row>
    <row r="15" spans="1:9" x14ac:dyDescent="0.2">
      <c r="A15" s="4" t="s">
        <v>20</v>
      </c>
      <c r="B15" s="4" t="s">
        <v>40</v>
      </c>
      <c r="C15" s="4" t="s">
        <v>66</v>
      </c>
      <c r="D15" s="4" t="s">
        <v>74</v>
      </c>
      <c r="E15" s="6">
        <v>822.28</v>
      </c>
      <c r="F15" s="7">
        <v>7</v>
      </c>
      <c r="G15" s="5">
        <v>0.05</v>
      </c>
      <c r="H15" s="8" t="s">
        <v>84</v>
      </c>
      <c r="I15" s="6">
        <v>273.41000000000003</v>
      </c>
    </row>
    <row r="16" spans="1:9" x14ac:dyDescent="0.2">
      <c r="A16" s="4" t="s">
        <v>21</v>
      </c>
      <c r="B16" s="4" t="s">
        <v>49</v>
      </c>
      <c r="C16" s="4" t="s">
        <v>69</v>
      </c>
      <c r="D16" s="4" t="s">
        <v>74</v>
      </c>
      <c r="E16" s="6">
        <v>521.66999999999996</v>
      </c>
      <c r="F16" s="7">
        <v>15</v>
      </c>
      <c r="G16" s="5">
        <v>0.15</v>
      </c>
      <c r="H16" s="8" t="s">
        <v>85</v>
      </c>
      <c r="I16" s="6">
        <v>155.19999999999999</v>
      </c>
    </row>
    <row r="17" spans="1:9" x14ac:dyDescent="0.2">
      <c r="A17" s="4" t="s">
        <v>12</v>
      </c>
      <c r="B17" s="4" t="s">
        <v>50</v>
      </c>
      <c r="C17" s="4" t="s">
        <v>68</v>
      </c>
      <c r="D17" s="4" t="s">
        <v>73</v>
      </c>
      <c r="E17" s="6">
        <v>1502.93</v>
      </c>
      <c r="F17" s="7">
        <v>14</v>
      </c>
      <c r="G17" s="5">
        <v>0.2</v>
      </c>
      <c r="H17" s="8" t="s">
        <v>86</v>
      </c>
      <c r="I17" s="6">
        <v>300.58999999999997</v>
      </c>
    </row>
    <row r="18" spans="1:9" x14ac:dyDescent="0.2">
      <c r="A18" s="4" t="s">
        <v>22</v>
      </c>
      <c r="B18" s="4" t="s">
        <v>40</v>
      </c>
      <c r="C18" s="4" t="s">
        <v>68</v>
      </c>
      <c r="D18" s="4" t="s">
        <v>71</v>
      </c>
      <c r="E18" s="6">
        <v>877.58</v>
      </c>
      <c r="F18" s="7">
        <v>10</v>
      </c>
      <c r="G18" s="5">
        <v>0.15</v>
      </c>
      <c r="H18" s="8" t="s">
        <v>87</v>
      </c>
      <c r="I18" s="6">
        <v>298.38</v>
      </c>
    </row>
    <row r="19" spans="1:9" x14ac:dyDescent="0.2">
      <c r="A19" s="4" t="s">
        <v>15</v>
      </c>
      <c r="B19" s="4" t="s">
        <v>51</v>
      </c>
      <c r="C19" s="4" t="s">
        <v>66</v>
      </c>
      <c r="D19" s="4" t="s">
        <v>71</v>
      </c>
      <c r="E19" s="6">
        <v>636.70000000000005</v>
      </c>
      <c r="F19" s="7">
        <v>4</v>
      </c>
      <c r="G19" s="5">
        <v>0.2</v>
      </c>
      <c r="H19" s="8" t="s">
        <v>87</v>
      </c>
      <c r="I19" s="6">
        <v>203.74</v>
      </c>
    </row>
    <row r="20" spans="1:9" x14ac:dyDescent="0.2">
      <c r="A20" s="4" t="s">
        <v>23</v>
      </c>
      <c r="B20" s="4" t="s">
        <v>52</v>
      </c>
      <c r="C20" s="4" t="s">
        <v>66</v>
      </c>
      <c r="D20" s="4" t="s">
        <v>71</v>
      </c>
      <c r="E20" s="6">
        <v>1506.14</v>
      </c>
      <c r="F20" s="7">
        <v>13</v>
      </c>
      <c r="G20" s="5">
        <v>0.2</v>
      </c>
      <c r="H20" s="8" t="s">
        <v>88</v>
      </c>
      <c r="I20" s="6">
        <v>481.96</v>
      </c>
    </row>
    <row r="21" spans="1:9" x14ac:dyDescent="0.2">
      <c r="A21" s="4" t="s">
        <v>16</v>
      </c>
      <c r="B21" s="4" t="s">
        <v>45</v>
      </c>
      <c r="C21" s="4" t="s">
        <v>70</v>
      </c>
      <c r="D21" s="4" t="s">
        <v>73</v>
      </c>
      <c r="E21" s="6">
        <v>645.02</v>
      </c>
      <c r="F21" s="7">
        <v>4</v>
      </c>
      <c r="G21" s="5">
        <v>0</v>
      </c>
      <c r="H21" s="8" t="s">
        <v>89</v>
      </c>
      <c r="I21" s="6">
        <v>161.26</v>
      </c>
    </row>
    <row r="22" spans="1:9" x14ac:dyDescent="0.2">
      <c r="A22" s="4" t="s">
        <v>14</v>
      </c>
      <c r="B22" s="4" t="s">
        <v>53</v>
      </c>
      <c r="C22" s="4" t="s">
        <v>68</v>
      </c>
      <c r="D22" s="4" t="s">
        <v>72</v>
      </c>
      <c r="E22" s="6">
        <v>953.3</v>
      </c>
      <c r="F22" s="7">
        <v>11</v>
      </c>
      <c r="G22" s="5">
        <v>0</v>
      </c>
      <c r="H22" s="8" t="s">
        <v>90</v>
      </c>
      <c r="I22" s="6">
        <v>476.65</v>
      </c>
    </row>
    <row r="23" spans="1:9" x14ac:dyDescent="0.2">
      <c r="A23" s="4" t="s">
        <v>24</v>
      </c>
      <c r="B23" s="4" t="s">
        <v>40</v>
      </c>
      <c r="C23" s="4" t="s">
        <v>69</v>
      </c>
      <c r="D23" s="4" t="s">
        <v>73</v>
      </c>
      <c r="E23" s="6">
        <v>388.56</v>
      </c>
      <c r="F23" s="7">
        <v>14</v>
      </c>
      <c r="G23" s="5">
        <v>0.15</v>
      </c>
      <c r="H23" s="8" t="s">
        <v>91</v>
      </c>
      <c r="I23" s="6">
        <v>82.57</v>
      </c>
    </row>
    <row r="24" spans="1:9" x14ac:dyDescent="0.2">
      <c r="A24" s="4" t="s">
        <v>9</v>
      </c>
      <c r="B24" s="4" t="s">
        <v>45</v>
      </c>
      <c r="C24" s="4" t="s">
        <v>66</v>
      </c>
      <c r="D24" s="4" t="s">
        <v>71</v>
      </c>
      <c r="E24" s="6">
        <v>743.17</v>
      </c>
      <c r="F24" s="7">
        <v>9</v>
      </c>
      <c r="G24" s="5">
        <v>0</v>
      </c>
      <c r="H24" s="8" t="s">
        <v>91</v>
      </c>
      <c r="I24" s="6">
        <v>297.27</v>
      </c>
    </row>
    <row r="25" spans="1:9" x14ac:dyDescent="0.2">
      <c r="A25" s="4" t="s">
        <v>20</v>
      </c>
      <c r="B25" s="4" t="s">
        <v>45</v>
      </c>
      <c r="C25" s="4" t="s">
        <v>70</v>
      </c>
      <c r="D25" s="4" t="s">
        <v>73</v>
      </c>
      <c r="E25" s="6">
        <v>706.37</v>
      </c>
      <c r="F25" s="7">
        <v>6</v>
      </c>
      <c r="G25" s="5">
        <v>0</v>
      </c>
      <c r="H25" s="8" t="s">
        <v>91</v>
      </c>
      <c r="I25" s="6">
        <v>176.59</v>
      </c>
    </row>
    <row r="26" spans="1:9" x14ac:dyDescent="0.2">
      <c r="A26" s="4" t="s">
        <v>10</v>
      </c>
      <c r="B26" s="4" t="s">
        <v>45</v>
      </c>
      <c r="C26" s="4" t="s">
        <v>70</v>
      </c>
      <c r="D26" s="4" t="s">
        <v>75</v>
      </c>
      <c r="E26" s="6">
        <v>925.31</v>
      </c>
      <c r="F26" s="7">
        <v>8</v>
      </c>
      <c r="G26" s="5">
        <v>0.1</v>
      </c>
      <c r="H26" s="8" t="s">
        <v>92</v>
      </c>
      <c r="I26" s="6">
        <v>374.75</v>
      </c>
    </row>
    <row r="27" spans="1:9" x14ac:dyDescent="0.2">
      <c r="A27" s="4" t="s">
        <v>18</v>
      </c>
      <c r="B27" s="4" t="s">
        <v>54</v>
      </c>
      <c r="C27" s="4" t="s">
        <v>68</v>
      </c>
      <c r="D27" s="4" t="s">
        <v>73</v>
      </c>
      <c r="E27" s="6">
        <v>1173.1199999999999</v>
      </c>
      <c r="F27" s="7">
        <v>18</v>
      </c>
      <c r="G27" s="5">
        <v>0</v>
      </c>
      <c r="H27" s="8" t="s">
        <v>92</v>
      </c>
      <c r="I27" s="6">
        <v>293.27999999999997</v>
      </c>
    </row>
    <row r="28" spans="1:9" x14ac:dyDescent="0.2">
      <c r="A28" s="4" t="s">
        <v>13</v>
      </c>
      <c r="B28" s="4" t="s">
        <v>55</v>
      </c>
      <c r="C28" s="4" t="s">
        <v>69</v>
      </c>
      <c r="D28" s="4" t="s">
        <v>74</v>
      </c>
      <c r="E28" s="6">
        <v>675.54</v>
      </c>
      <c r="F28" s="7">
        <v>17</v>
      </c>
      <c r="G28" s="5">
        <v>0</v>
      </c>
      <c r="H28" s="8" t="s">
        <v>93</v>
      </c>
      <c r="I28" s="6">
        <v>236.44</v>
      </c>
    </row>
    <row r="29" spans="1:9" x14ac:dyDescent="0.2">
      <c r="A29" s="4" t="s">
        <v>14</v>
      </c>
      <c r="B29" s="4" t="s">
        <v>40</v>
      </c>
      <c r="C29" s="4" t="s">
        <v>70</v>
      </c>
      <c r="D29" s="4" t="s">
        <v>71</v>
      </c>
      <c r="E29" s="6">
        <v>939.09</v>
      </c>
      <c r="F29" s="7">
        <v>2</v>
      </c>
      <c r="G29" s="5">
        <v>0.05</v>
      </c>
      <c r="H29" s="8" t="s">
        <v>94</v>
      </c>
      <c r="I29" s="6">
        <v>356.85</v>
      </c>
    </row>
    <row r="30" spans="1:9" x14ac:dyDescent="0.2">
      <c r="A30" s="4" t="s">
        <v>25</v>
      </c>
      <c r="B30" s="4" t="s">
        <v>56</v>
      </c>
      <c r="C30" s="4" t="s">
        <v>67</v>
      </c>
      <c r="D30" s="4" t="s">
        <v>75</v>
      </c>
      <c r="E30" s="6">
        <v>983.34</v>
      </c>
      <c r="F30" s="7">
        <v>19</v>
      </c>
      <c r="G30" s="5">
        <v>0.1</v>
      </c>
      <c r="H30" s="8" t="s">
        <v>95</v>
      </c>
      <c r="I30" s="6">
        <v>398.25</v>
      </c>
    </row>
    <row r="31" spans="1:9" x14ac:dyDescent="0.2">
      <c r="A31" s="4" t="s">
        <v>25</v>
      </c>
      <c r="B31" s="4" t="s">
        <v>42</v>
      </c>
      <c r="C31" s="4" t="s">
        <v>68</v>
      </c>
      <c r="D31" s="4" t="s">
        <v>73</v>
      </c>
      <c r="E31" s="6">
        <v>801.21</v>
      </c>
      <c r="F31" s="7">
        <v>3</v>
      </c>
      <c r="G31" s="5">
        <v>0.2</v>
      </c>
      <c r="H31" s="8" t="s">
        <v>95</v>
      </c>
      <c r="I31" s="6">
        <v>160.24</v>
      </c>
    </row>
    <row r="32" spans="1:9" x14ac:dyDescent="0.2">
      <c r="A32" s="4" t="s">
        <v>26</v>
      </c>
      <c r="B32" s="4" t="s">
        <v>57</v>
      </c>
      <c r="C32" s="4" t="s">
        <v>69</v>
      </c>
      <c r="D32" s="4" t="s">
        <v>73</v>
      </c>
      <c r="E32" s="6">
        <v>1450.71</v>
      </c>
      <c r="F32" s="7">
        <v>5</v>
      </c>
      <c r="G32" s="5">
        <v>0.1</v>
      </c>
      <c r="H32" s="8" t="s">
        <v>96</v>
      </c>
      <c r="I32" s="6">
        <v>326.41000000000003</v>
      </c>
    </row>
    <row r="33" spans="1:9" x14ac:dyDescent="0.2">
      <c r="A33" s="4" t="s">
        <v>24</v>
      </c>
      <c r="B33" s="4" t="s">
        <v>58</v>
      </c>
      <c r="C33" s="4" t="s">
        <v>70</v>
      </c>
      <c r="D33" s="4" t="s">
        <v>71</v>
      </c>
      <c r="E33" s="6">
        <v>1023.21</v>
      </c>
      <c r="F33" s="7">
        <v>18</v>
      </c>
      <c r="G33" s="5">
        <v>0.05</v>
      </c>
      <c r="H33" s="8" t="s">
        <v>97</v>
      </c>
      <c r="I33" s="6">
        <v>388.82</v>
      </c>
    </row>
    <row r="34" spans="1:9" x14ac:dyDescent="0.2">
      <c r="A34" s="4" t="s">
        <v>15</v>
      </c>
      <c r="B34" s="4" t="s">
        <v>52</v>
      </c>
      <c r="C34" s="4" t="s">
        <v>66</v>
      </c>
      <c r="D34" s="4" t="s">
        <v>74</v>
      </c>
      <c r="E34" s="6">
        <v>853.72</v>
      </c>
      <c r="F34" s="7">
        <v>5</v>
      </c>
      <c r="G34" s="5">
        <v>0.15</v>
      </c>
      <c r="H34" s="8" t="s">
        <v>97</v>
      </c>
      <c r="I34" s="6">
        <v>253.98</v>
      </c>
    </row>
    <row r="35" spans="1:9" x14ac:dyDescent="0.2">
      <c r="A35" s="4" t="s">
        <v>27</v>
      </c>
      <c r="B35" s="4" t="s">
        <v>50</v>
      </c>
      <c r="C35" s="4" t="s">
        <v>68</v>
      </c>
      <c r="D35" s="4" t="s">
        <v>73</v>
      </c>
      <c r="E35" s="6">
        <v>967.89</v>
      </c>
      <c r="F35" s="7">
        <v>10</v>
      </c>
      <c r="G35" s="5">
        <v>0.1</v>
      </c>
      <c r="H35" s="8" t="s">
        <v>98</v>
      </c>
      <c r="I35" s="6">
        <v>217.78</v>
      </c>
    </row>
    <row r="36" spans="1:9" x14ac:dyDescent="0.2">
      <c r="A36" s="4" t="s">
        <v>28</v>
      </c>
      <c r="B36" s="4" t="s">
        <v>56</v>
      </c>
      <c r="C36" s="4" t="s">
        <v>69</v>
      </c>
      <c r="D36" s="4" t="s">
        <v>75</v>
      </c>
      <c r="E36" s="6">
        <v>1200.9000000000001</v>
      </c>
      <c r="F36" s="7">
        <v>14</v>
      </c>
      <c r="G36" s="5">
        <v>0.05</v>
      </c>
      <c r="H36" s="8" t="s">
        <v>98</v>
      </c>
      <c r="I36" s="6">
        <v>513.38</v>
      </c>
    </row>
    <row r="37" spans="1:9" x14ac:dyDescent="0.2">
      <c r="A37" s="4" t="s">
        <v>10</v>
      </c>
      <c r="B37" s="4" t="s">
        <v>43</v>
      </c>
      <c r="C37" s="4" t="s">
        <v>66</v>
      </c>
      <c r="D37" s="4" t="s">
        <v>71</v>
      </c>
      <c r="E37" s="6">
        <v>472.38</v>
      </c>
      <c r="F37" s="7">
        <v>12</v>
      </c>
      <c r="G37" s="5">
        <v>0.2</v>
      </c>
      <c r="H37" s="8" t="s">
        <v>98</v>
      </c>
      <c r="I37" s="6">
        <v>151.16</v>
      </c>
    </row>
    <row r="38" spans="1:9" x14ac:dyDescent="0.2">
      <c r="A38" s="4" t="s">
        <v>9</v>
      </c>
      <c r="B38" s="4" t="s">
        <v>57</v>
      </c>
      <c r="C38" s="4" t="s">
        <v>67</v>
      </c>
      <c r="D38" s="4" t="s">
        <v>75</v>
      </c>
      <c r="E38" s="6">
        <v>840.92</v>
      </c>
      <c r="F38" s="7">
        <v>9</v>
      </c>
      <c r="G38" s="5">
        <v>0.05</v>
      </c>
      <c r="H38" s="8" t="s">
        <v>98</v>
      </c>
      <c r="I38" s="6">
        <v>359.49</v>
      </c>
    </row>
    <row r="39" spans="1:9" x14ac:dyDescent="0.2">
      <c r="A39" s="4" t="s">
        <v>25</v>
      </c>
      <c r="B39" s="4" t="s">
        <v>53</v>
      </c>
      <c r="C39" s="4" t="s">
        <v>70</v>
      </c>
      <c r="D39" s="4" t="s">
        <v>74</v>
      </c>
      <c r="E39" s="6">
        <v>1410.06</v>
      </c>
      <c r="F39" s="7">
        <v>11</v>
      </c>
      <c r="G39" s="5">
        <v>0.05</v>
      </c>
      <c r="H39" s="8" t="s">
        <v>99</v>
      </c>
      <c r="I39" s="6">
        <v>468.84</v>
      </c>
    </row>
    <row r="40" spans="1:9" x14ac:dyDescent="0.2">
      <c r="A40" s="4" t="s">
        <v>22</v>
      </c>
      <c r="B40" s="4" t="s">
        <v>59</v>
      </c>
      <c r="C40" s="4" t="s">
        <v>70</v>
      </c>
      <c r="D40" s="4" t="s">
        <v>74</v>
      </c>
      <c r="E40" s="6">
        <v>773.09</v>
      </c>
      <c r="F40" s="7">
        <v>13</v>
      </c>
      <c r="G40" s="5">
        <v>0.15</v>
      </c>
      <c r="H40" s="8" t="s">
        <v>99</v>
      </c>
      <c r="I40" s="6">
        <v>229.99</v>
      </c>
    </row>
    <row r="41" spans="1:9" x14ac:dyDescent="0.2">
      <c r="A41" s="4" t="s">
        <v>29</v>
      </c>
      <c r="B41" s="4" t="s">
        <v>60</v>
      </c>
      <c r="C41" s="4" t="s">
        <v>67</v>
      </c>
      <c r="D41" s="4" t="s">
        <v>71</v>
      </c>
      <c r="E41" s="6">
        <v>580.42999999999995</v>
      </c>
      <c r="F41" s="7">
        <v>19</v>
      </c>
      <c r="G41" s="5">
        <v>0.15</v>
      </c>
      <c r="H41" s="8" t="s">
        <v>100</v>
      </c>
      <c r="I41" s="6">
        <v>197.35</v>
      </c>
    </row>
    <row r="42" spans="1:9" x14ac:dyDescent="0.2">
      <c r="A42" s="4" t="s">
        <v>12</v>
      </c>
      <c r="B42" s="4" t="s">
        <v>49</v>
      </c>
      <c r="C42" s="4" t="s">
        <v>68</v>
      </c>
      <c r="D42" s="4" t="s">
        <v>71</v>
      </c>
      <c r="E42" s="6">
        <v>1151.21</v>
      </c>
      <c r="F42" s="7">
        <v>15</v>
      </c>
      <c r="G42" s="5">
        <v>0.1</v>
      </c>
      <c r="H42" s="8" t="s">
        <v>101</v>
      </c>
      <c r="I42" s="6">
        <v>414.44</v>
      </c>
    </row>
    <row r="43" spans="1:9" x14ac:dyDescent="0.2">
      <c r="A43" s="4" t="s">
        <v>25</v>
      </c>
      <c r="B43" s="4" t="s">
        <v>42</v>
      </c>
      <c r="C43" s="4" t="s">
        <v>70</v>
      </c>
      <c r="D43" s="4" t="s">
        <v>75</v>
      </c>
      <c r="E43" s="6">
        <v>1025.98</v>
      </c>
      <c r="F43" s="7">
        <v>5</v>
      </c>
      <c r="G43" s="5">
        <v>0.2</v>
      </c>
      <c r="H43" s="8" t="s">
        <v>102</v>
      </c>
      <c r="I43" s="6">
        <v>369.35</v>
      </c>
    </row>
    <row r="44" spans="1:9" x14ac:dyDescent="0.2">
      <c r="A44" s="4" t="s">
        <v>20</v>
      </c>
      <c r="B44" s="4" t="s">
        <v>58</v>
      </c>
      <c r="C44" s="4" t="s">
        <v>67</v>
      </c>
      <c r="D44" s="4" t="s">
        <v>75</v>
      </c>
      <c r="E44" s="6">
        <v>556.41999999999996</v>
      </c>
      <c r="F44" s="7">
        <v>11</v>
      </c>
      <c r="G44" s="5">
        <v>0.15</v>
      </c>
      <c r="H44" s="8" t="s">
        <v>102</v>
      </c>
      <c r="I44" s="6">
        <v>212.83</v>
      </c>
    </row>
    <row r="45" spans="1:9" x14ac:dyDescent="0.2">
      <c r="A45" s="4" t="s">
        <v>27</v>
      </c>
      <c r="B45" s="4" t="s">
        <v>42</v>
      </c>
      <c r="C45" s="4" t="s">
        <v>70</v>
      </c>
      <c r="D45" s="4" t="s">
        <v>71</v>
      </c>
      <c r="E45" s="6">
        <v>840.85</v>
      </c>
      <c r="F45" s="7">
        <v>19</v>
      </c>
      <c r="G45" s="5">
        <v>0.1</v>
      </c>
      <c r="H45" s="8" t="s">
        <v>103</v>
      </c>
      <c r="I45" s="6">
        <v>302.70999999999998</v>
      </c>
    </row>
    <row r="46" spans="1:9" x14ac:dyDescent="0.2">
      <c r="A46" s="4" t="s">
        <v>16</v>
      </c>
      <c r="B46" s="4" t="s">
        <v>60</v>
      </c>
      <c r="C46" s="4" t="s">
        <v>69</v>
      </c>
      <c r="D46" s="4" t="s">
        <v>74</v>
      </c>
      <c r="E46" s="6">
        <v>1227.25</v>
      </c>
      <c r="F46" s="7">
        <v>12</v>
      </c>
      <c r="G46" s="5">
        <v>0.15</v>
      </c>
      <c r="H46" s="8" t="s">
        <v>103</v>
      </c>
      <c r="I46" s="6">
        <v>365.11</v>
      </c>
    </row>
    <row r="47" spans="1:9" x14ac:dyDescent="0.2">
      <c r="A47" s="4" t="s">
        <v>11</v>
      </c>
      <c r="B47" s="4" t="s">
        <v>61</v>
      </c>
      <c r="C47" s="4" t="s">
        <v>70</v>
      </c>
      <c r="D47" s="4" t="s">
        <v>73</v>
      </c>
      <c r="E47" s="6">
        <v>856.7</v>
      </c>
      <c r="F47" s="7">
        <v>2</v>
      </c>
      <c r="G47" s="5">
        <v>0</v>
      </c>
      <c r="H47" s="8" t="s">
        <v>104</v>
      </c>
      <c r="I47" s="6">
        <v>214.18</v>
      </c>
    </row>
    <row r="48" spans="1:9" x14ac:dyDescent="0.2">
      <c r="A48" s="4" t="s">
        <v>26</v>
      </c>
      <c r="B48" s="4" t="s">
        <v>58</v>
      </c>
      <c r="C48" s="4" t="s">
        <v>70</v>
      </c>
      <c r="D48" s="4" t="s">
        <v>75</v>
      </c>
      <c r="E48" s="6">
        <v>1225.42</v>
      </c>
      <c r="F48" s="7">
        <v>8</v>
      </c>
      <c r="G48" s="5">
        <v>0.15</v>
      </c>
      <c r="H48" s="8" t="s">
        <v>104</v>
      </c>
      <c r="I48" s="6">
        <v>468.72</v>
      </c>
    </row>
    <row r="49" spans="1:9" x14ac:dyDescent="0.2">
      <c r="A49" s="4" t="s">
        <v>30</v>
      </c>
      <c r="B49" s="4" t="s">
        <v>45</v>
      </c>
      <c r="C49" s="4" t="s">
        <v>69</v>
      </c>
      <c r="D49" s="4" t="s">
        <v>75</v>
      </c>
      <c r="E49" s="6">
        <v>1001.57</v>
      </c>
      <c r="F49" s="7">
        <v>12</v>
      </c>
      <c r="G49" s="5">
        <v>0</v>
      </c>
      <c r="H49" s="8" t="s">
        <v>105</v>
      </c>
      <c r="I49" s="6">
        <v>450.71</v>
      </c>
    </row>
    <row r="50" spans="1:9" x14ac:dyDescent="0.2">
      <c r="A50" s="4" t="s">
        <v>27</v>
      </c>
      <c r="B50" s="4" t="s">
        <v>43</v>
      </c>
      <c r="C50" s="4" t="s">
        <v>67</v>
      </c>
      <c r="D50" s="4" t="s">
        <v>74</v>
      </c>
      <c r="E50" s="6">
        <v>1186.8499999999999</v>
      </c>
      <c r="F50" s="7">
        <v>19</v>
      </c>
      <c r="G50" s="5">
        <v>0.2</v>
      </c>
      <c r="H50" s="8" t="s">
        <v>106</v>
      </c>
      <c r="I50" s="6">
        <v>332.32</v>
      </c>
    </row>
    <row r="51" spans="1:9" x14ac:dyDescent="0.2">
      <c r="A51" s="4" t="s">
        <v>22</v>
      </c>
      <c r="B51" s="4" t="s">
        <v>55</v>
      </c>
      <c r="C51" s="4" t="s">
        <v>68</v>
      </c>
      <c r="D51" s="4" t="s">
        <v>73</v>
      </c>
      <c r="E51" s="6">
        <v>775.45</v>
      </c>
      <c r="F51" s="7">
        <v>6</v>
      </c>
      <c r="G51" s="5">
        <v>0.1</v>
      </c>
      <c r="H51" s="8" t="s">
        <v>107</v>
      </c>
      <c r="I51" s="6">
        <v>174.48</v>
      </c>
    </row>
    <row r="52" spans="1:9" x14ac:dyDescent="0.2">
      <c r="A52" s="4" t="s">
        <v>14</v>
      </c>
      <c r="B52" s="4" t="s">
        <v>46</v>
      </c>
      <c r="C52" s="4" t="s">
        <v>68</v>
      </c>
      <c r="D52" s="4" t="s">
        <v>73</v>
      </c>
      <c r="E52" s="6">
        <v>1021.47</v>
      </c>
      <c r="F52" s="7">
        <v>6</v>
      </c>
      <c r="G52" s="5">
        <v>0.05</v>
      </c>
      <c r="H52" s="8" t="s">
        <v>108</v>
      </c>
      <c r="I52" s="6">
        <v>242.6</v>
      </c>
    </row>
    <row r="53" spans="1:9" x14ac:dyDescent="0.2">
      <c r="A53" s="4" t="s">
        <v>28</v>
      </c>
      <c r="B53" s="4" t="s">
        <v>42</v>
      </c>
      <c r="C53" s="4" t="s">
        <v>68</v>
      </c>
      <c r="D53" s="4" t="s">
        <v>72</v>
      </c>
      <c r="E53" s="6">
        <v>1226.6199999999999</v>
      </c>
      <c r="F53" s="7">
        <v>7</v>
      </c>
      <c r="G53" s="5">
        <v>0.1</v>
      </c>
      <c r="H53" s="8" t="s">
        <v>109</v>
      </c>
      <c r="I53" s="6">
        <v>551.98</v>
      </c>
    </row>
    <row r="54" spans="1:9" x14ac:dyDescent="0.2">
      <c r="A54" s="4" t="s">
        <v>13</v>
      </c>
      <c r="B54" s="4" t="s">
        <v>62</v>
      </c>
      <c r="C54" s="4" t="s">
        <v>68</v>
      </c>
      <c r="D54" s="4" t="s">
        <v>74</v>
      </c>
      <c r="E54" s="6">
        <v>1086.93</v>
      </c>
      <c r="F54" s="7">
        <v>2</v>
      </c>
      <c r="G54" s="5">
        <v>0</v>
      </c>
      <c r="H54" s="8" t="s">
        <v>110</v>
      </c>
      <c r="I54" s="6">
        <v>380.43</v>
      </c>
    </row>
    <row r="55" spans="1:9" x14ac:dyDescent="0.2">
      <c r="A55" s="4" t="s">
        <v>31</v>
      </c>
      <c r="B55" s="4" t="s">
        <v>53</v>
      </c>
      <c r="C55" s="4" t="s">
        <v>66</v>
      </c>
      <c r="D55" s="4" t="s">
        <v>71</v>
      </c>
      <c r="E55" s="6">
        <v>942.9</v>
      </c>
      <c r="F55" s="7">
        <v>18</v>
      </c>
      <c r="G55" s="5">
        <v>0.1</v>
      </c>
      <c r="H55" s="8" t="s">
        <v>111</v>
      </c>
      <c r="I55" s="6">
        <v>339.44</v>
      </c>
    </row>
    <row r="56" spans="1:9" x14ac:dyDescent="0.2">
      <c r="A56" s="4" t="s">
        <v>17</v>
      </c>
      <c r="B56" s="4" t="s">
        <v>48</v>
      </c>
      <c r="C56" s="4" t="s">
        <v>69</v>
      </c>
      <c r="D56" s="4" t="s">
        <v>73</v>
      </c>
      <c r="E56" s="6">
        <v>818.8</v>
      </c>
      <c r="F56" s="7">
        <v>15</v>
      </c>
      <c r="G56" s="5">
        <v>0.15</v>
      </c>
      <c r="H56" s="8" t="s">
        <v>112</v>
      </c>
      <c r="I56" s="6">
        <v>173.99</v>
      </c>
    </row>
    <row r="57" spans="1:9" x14ac:dyDescent="0.2">
      <c r="A57" s="4" t="s">
        <v>12</v>
      </c>
      <c r="B57" s="4" t="s">
        <v>40</v>
      </c>
      <c r="C57" s="4" t="s">
        <v>68</v>
      </c>
      <c r="D57" s="4" t="s">
        <v>74</v>
      </c>
      <c r="E57" s="6">
        <v>919.04</v>
      </c>
      <c r="F57" s="7">
        <v>10</v>
      </c>
      <c r="G57" s="5">
        <v>0.2</v>
      </c>
      <c r="H57" s="8" t="s">
        <v>112</v>
      </c>
      <c r="I57" s="6">
        <v>257.33</v>
      </c>
    </row>
    <row r="58" spans="1:9" x14ac:dyDescent="0.2">
      <c r="A58" s="4" t="s">
        <v>13</v>
      </c>
      <c r="B58" s="4" t="s">
        <v>63</v>
      </c>
      <c r="C58" s="4" t="s">
        <v>70</v>
      </c>
      <c r="D58" s="4" t="s">
        <v>71</v>
      </c>
      <c r="E58" s="6">
        <v>973.26</v>
      </c>
      <c r="F58" s="7">
        <v>11</v>
      </c>
      <c r="G58" s="5">
        <v>0</v>
      </c>
      <c r="H58" s="8" t="s">
        <v>113</v>
      </c>
      <c r="I58" s="6">
        <v>389.3</v>
      </c>
    </row>
    <row r="59" spans="1:9" x14ac:dyDescent="0.2">
      <c r="A59" s="4" t="s">
        <v>21</v>
      </c>
      <c r="B59" s="4" t="s">
        <v>62</v>
      </c>
      <c r="C59" s="4" t="s">
        <v>69</v>
      </c>
      <c r="D59" s="4" t="s">
        <v>73</v>
      </c>
      <c r="E59" s="6">
        <v>741.61</v>
      </c>
      <c r="F59" s="7">
        <v>1</v>
      </c>
      <c r="G59" s="5">
        <v>0.2</v>
      </c>
      <c r="H59" s="8" t="s">
        <v>114</v>
      </c>
      <c r="I59" s="6">
        <v>148.32</v>
      </c>
    </row>
    <row r="60" spans="1:9" x14ac:dyDescent="0.2">
      <c r="A60" s="4" t="s">
        <v>32</v>
      </c>
      <c r="B60" s="4" t="s">
        <v>48</v>
      </c>
      <c r="C60" s="4" t="s">
        <v>69</v>
      </c>
      <c r="D60" s="4" t="s">
        <v>71</v>
      </c>
      <c r="E60" s="6">
        <v>1248.82</v>
      </c>
      <c r="F60" s="7">
        <v>2</v>
      </c>
      <c r="G60" s="5">
        <v>0.1</v>
      </c>
      <c r="H60" s="8" t="s">
        <v>115</v>
      </c>
      <c r="I60" s="6">
        <v>449.58</v>
      </c>
    </row>
    <row r="61" spans="1:9" x14ac:dyDescent="0.2">
      <c r="A61" s="4" t="s">
        <v>10</v>
      </c>
      <c r="B61" s="4" t="s">
        <v>59</v>
      </c>
      <c r="C61" s="4" t="s">
        <v>66</v>
      </c>
      <c r="D61" s="4" t="s">
        <v>72</v>
      </c>
      <c r="E61" s="6">
        <v>1360.36</v>
      </c>
      <c r="F61" s="7">
        <v>17</v>
      </c>
      <c r="G61" s="5">
        <v>0</v>
      </c>
      <c r="H61" s="8" t="s">
        <v>115</v>
      </c>
      <c r="I61" s="6">
        <v>680.18</v>
      </c>
    </row>
    <row r="62" spans="1:9" x14ac:dyDescent="0.2">
      <c r="A62" s="4" t="s">
        <v>27</v>
      </c>
      <c r="B62" s="4" t="s">
        <v>45</v>
      </c>
      <c r="C62" s="4" t="s">
        <v>67</v>
      </c>
      <c r="D62" s="4" t="s">
        <v>71</v>
      </c>
      <c r="E62" s="6">
        <v>1383.3</v>
      </c>
      <c r="F62" s="7">
        <v>8</v>
      </c>
      <c r="G62" s="5">
        <v>0.1</v>
      </c>
      <c r="H62" s="8" t="s">
        <v>116</v>
      </c>
      <c r="I62" s="6">
        <v>497.99</v>
      </c>
    </row>
    <row r="63" spans="1:9" x14ac:dyDescent="0.2">
      <c r="A63" s="4" t="s">
        <v>18</v>
      </c>
      <c r="B63" s="4" t="s">
        <v>57</v>
      </c>
      <c r="C63" s="4" t="s">
        <v>70</v>
      </c>
      <c r="D63" s="4" t="s">
        <v>75</v>
      </c>
      <c r="E63" s="6">
        <v>488.99</v>
      </c>
      <c r="F63" s="7">
        <v>9</v>
      </c>
      <c r="G63" s="5">
        <v>0</v>
      </c>
      <c r="H63" s="8" t="s">
        <v>117</v>
      </c>
      <c r="I63" s="6">
        <v>220.05</v>
      </c>
    </row>
    <row r="64" spans="1:9" x14ac:dyDescent="0.2">
      <c r="A64" s="4" t="s">
        <v>16</v>
      </c>
      <c r="B64" s="4" t="s">
        <v>45</v>
      </c>
      <c r="C64" s="4" t="s">
        <v>67</v>
      </c>
      <c r="D64" s="4" t="s">
        <v>74</v>
      </c>
      <c r="E64" s="6">
        <v>933.71</v>
      </c>
      <c r="F64" s="7">
        <v>17</v>
      </c>
      <c r="G64" s="5">
        <v>0.1</v>
      </c>
      <c r="H64" s="8" t="s">
        <v>118</v>
      </c>
      <c r="I64" s="6">
        <v>294.12</v>
      </c>
    </row>
    <row r="65" spans="1:9" x14ac:dyDescent="0.2">
      <c r="A65" s="4" t="s">
        <v>32</v>
      </c>
      <c r="B65" s="4" t="s">
        <v>39</v>
      </c>
      <c r="C65" s="4" t="s">
        <v>66</v>
      </c>
      <c r="D65" s="4" t="s">
        <v>73</v>
      </c>
      <c r="E65" s="6">
        <v>1005.53</v>
      </c>
      <c r="F65" s="7">
        <v>17</v>
      </c>
      <c r="G65" s="5">
        <v>0.2</v>
      </c>
      <c r="H65" s="8" t="s">
        <v>118</v>
      </c>
      <c r="I65" s="6">
        <v>201.11</v>
      </c>
    </row>
    <row r="66" spans="1:9" x14ac:dyDescent="0.2">
      <c r="A66" s="4" t="s">
        <v>21</v>
      </c>
      <c r="B66" s="4" t="s">
        <v>60</v>
      </c>
      <c r="C66" s="4" t="s">
        <v>68</v>
      </c>
      <c r="D66" s="4" t="s">
        <v>73</v>
      </c>
      <c r="E66" s="6">
        <v>1100.0999999999999</v>
      </c>
      <c r="F66" s="7">
        <v>5</v>
      </c>
      <c r="G66" s="5">
        <v>0.05</v>
      </c>
      <c r="H66" s="8" t="s">
        <v>119</v>
      </c>
      <c r="I66" s="6">
        <v>261.27</v>
      </c>
    </row>
    <row r="67" spans="1:9" x14ac:dyDescent="0.2">
      <c r="A67" s="4" t="s">
        <v>32</v>
      </c>
      <c r="B67" s="4" t="s">
        <v>42</v>
      </c>
      <c r="C67" s="4" t="s">
        <v>69</v>
      </c>
      <c r="D67" s="4" t="s">
        <v>74</v>
      </c>
      <c r="E67" s="6">
        <v>1034.7</v>
      </c>
      <c r="F67" s="7">
        <v>15</v>
      </c>
      <c r="G67" s="5">
        <v>0.15</v>
      </c>
      <c r="H67" s="8" t="s">
        <v>120</v>
      </c>
      <c r="I67" s="6">
        <v>307.82</v>
      </c>
    </row>
    <row r="68" spans="1:9" x14ac:dyDescent="0.2">
      <c r="A68" s="4" t="s">
        <v>31</v>
      </c>
      <c r="B68" s="4" t="s">
        <v>45</v>
      </c>
      <c r="C68" s="4" t="s">
        <v>68</v>
      </c>
      <c r="D68" s="4" t="s">
        <v>71</v>
      </c>
      <c r="E68" s="6">
        <v>876.44</v>
      </c>
      <c r="F68" s="7">
        <v>12</v>
      </c>
      <c r="G68" s="5">
        <v>0.05</v>
      </c>
      <c r="H68" s="8" t="s">
        <v>121</v>
      </c>
      <c r="I68" s="6">
        <v>333.05</v>
      </c>
    </row>
    <row r="69" spans="1:9" x14ac:dyDescent="0.2">
      <c r="A69" s="4" t="s">
        <v>33</v>
      </c>
      <c r="B69" s="4" t="s">
        <v>57</v>
      </c>
      <c r="C69" s="4" t="s">
        <v>66</v>
      </c>
      <c r="D69" s="4" t="s">
        <v>74</v>
      </c>
      <c r="E69" s="6">
        <v>1371.34</v>
      </c>
      <c r="F69" s="7">
        <v>5</v>
      </c>
      <c r="G69" s="5">
        <v>0.05</v>
      </c>
      <c r="H69" s="8" t="s">
        <v>121</v>
      </c>
      <c r="I69" s="6">
        <v>455.97</v>
      </c>
    </row>
    <row r="70" spans="1:9" x14ac:dyDescent="0.2">
      <c r="A70" s="4" t="s">
        <v>27</v>
      </c>
      <c r="B70" s="4" t="s">
        <v>52</v>
      </c>
      <c r="C70" s="4" t="s">
        <v>69</v>
      </c>
      <c r="D70" s="4" t="s">
        <v>73</v>
      </c>
      <c r="E70" s="6">
        <v>1020.26</v>
      </c>
      <c r="F70" s="7">
        <v>11</v>
      </c>
      <c r="G70" s="5">
        <v>0.05</v>
      </c>
      <c r="H70" s="8" t="s">
        <v>122</v>
      </c>
      <c r="I70" s="6">
        <v>242.31</v>
      </c>
    </row>
    <row r="71" spans="1:9" x14ac:dyDescent="0.2">
      <c r="A71" s="4" t="s">
        <v>22</v>
      </c>
      <c r="B71" s="4" t="s">
        <v>39</v>
      </c>
      <c r="C71" s="4" t="s">
        <v>70</v>
      </c>
      <c r="D71" s="4" t="s">
        <v>75</v>
      </c>
      <c r="E71" s="6">
        <v>804.81</v>
      </c>
      <c r="F71" s="7">
        <v>1</v>
      </c>
      <c r="G71" s="5">
        <v>0.05</v>
      </c>
      <c r="H71" s="8" t="s">
        <v>123</v>
      </c>
      <c r="I71" s="6">
        <v>344.06</v>
      </c>
    </row>
    <row r="72" spans="1:9" x14ac:dyDescent="0.2">
      <c r="A72" s="4" t="s">
        <v>13</v>
      </c>
      <c r="B72" s="4" t="s">
        <v>57</v>
      </c>
      <c r="C72" s="4" t="s">
        <v>70</v>
      </c>
      <c r="D72" s="4" t="s">
        <v>73</v>
      </c>
      <c r="E72" s="6">
        <v>608.66</v>
      </c>
      <c r="F72" s="7">
        <v>1</v>
      </c>
      <c r="G72" s="5">
        <v>0.05</v>
      </c>
      <c r="H72" s="8" t="s">
        <v>124</v>
      </c>
      <c r="I72" s="6">
        <v>144.56</v>
      </c>
    </row>
    <row r="73" spans="1:9" x14ac:dyDescent="0.2">
      <c r="A73" s="4" t="s">
        <v>33</v>
      </c>
      <c r="B73" s="4" t="s">
        <v>64</v>
      </c>
      <c r="C73" s="4" t="s">
        <v>68</v>
      </c>
      <c r="D73" s="4" t="s">
        <v>75</v>
      </c>
      <c r="E73" s="6">
        <v>981.2</v>
      </c>
      <c r="F73" s="7">
        <v>19</v>
      </c>
      <c r="G73" s="5">
        <v>0</v>
      </c>
      <c r="H73" s="8" t="s">
        <v>125</v>
      </c>
      <c r="I73" s="6">
        <v>441.54</v>
      </c>
    </row>
    <row r="74" spans="1:9" x14ac:dyDescent="0.2">
      <c r="A74" s="4" t="s">
        <v>34</v>
      </c>
      <c r="B74" s="4" t="s">
        <v>57</v>
      </c>
      <c r="C74" s="4" t="s">
        <v>67</v>
      </c>
      <c r="D74" s="4" t="s">
        <v>73</v>
      </c>
      <c r="E74" s="6">
        <v>539.77</v>
      </c>
      <c r="F74" s="7">
        <v>10</v>
      </c>
      <c r="G74" s="5">
        <v>0.15</v>
      </c>
      <c r="H74" s="8" t="s">
        <v>126</v>
      </c>
      <c r="I74" s="6">
        <v>114.7</v>
      </c>
    </row>
    <row r="75" spans="1:9" x14ac:dyDescent="0.2">
      <c r="A75" s="4" t="s">
        <v>10</v>
      </c>
      <c r="B75" s="4" t="s">
        <v>65</v>
      </c>
      <c r="C75" s="4" t="s">
        <v>68</v>
      </c>
      <c r="D75" s="4" t="s">
        <v>71</v>
      </c>
      <c r="E75" s="6">
        <v>804.45</v>
      </c>
      <c r="F75" s="7">
        <v>5</v>
      </c>
      <c r="G75" s="5">
        <v>0.2</v>
      </c>
      <c r="H75" s="8" t="s">
        <v>126</v>
      </c>
      <c r="I75" s="6">
        <v>257.42</v>
      </c>
    </row>
    <row r="76" spans="1:9" x14ac:dyDescent="0.2">
      <c r="A76" s="4" t="s">
        <v>34</v>
      </c>
      <c r="B76" s="4" t="s">
        <v>48</v>
      </c>
      <c r="C76" s="4" t="s">
        <v>66</v>
      </c>
      <c r="D76" s="4" t="s">
        <v>73</v>
      </c>
      <c r="E76" s="6">
        <v>1526.6</v>
      </c>
      <c r="F76" s="7">
        <v>13</v>
      </c>
      <c r="G76" s="5">
        <v>0.2</v>
      </c>
      <c r="H76" s="8" t="s">
        <v>127</v>
      </c>
      <c r="I76" s="6">
        <v>305.32</v>
      </c>
    </row>
    <row r="77" spans="1:9" x14ac:dyDescent="0.2">
      <c r="A77" s="4" t="s">
        <v>10</v>
      </c>
      <c r="B77" s="4" t="s">
        <v>44</v>
      </c>
      <c r="C77" s="4" t="s">
        <v>66</v>
      </c>
      <c r="D77" s="4" t="s">
        <v>73</v>
      </c>
      <c r="E77" s="6">
        <v>1215.26</v>
      </c>
      <c r="F77" s="7">
        <v>5</v>
      </c>
      <c r="G77" s="5">
        <v>0.15</v>
      </c>
      <c r="H77" s="8" t="s">
        <v>128</v>
      </c>
      <c r="I77" s="6">
        <v>258.24</v>
      </c>
    </row>
    <row r="78" spans="1:9" x14ac:dyDescent="0.2">
      <c r="A78" s="4" t="s">
        <v>12</v>
      </c>
      <c r="B78" s="4" t="s">
        <v>56</v>
      </c>
      <c r="C78" s="4" t="s">
        <v>70</v>
      </c>
      <c r="D78" s="4" t="s">
        <v>74</v>
      </c>
      <c r="E78" s="6">
        <v>1261.3399999999999</v>
      </c>
      <c r="F78" s="7">
        <v>3</v>
      </c>
      <c r="G78" s="5">
        <v>0</v>
      </c>
      <c r="H78" s="8" t="s">
        <v>129</v>
      </c>
      <c r="I78" s="6">
        <v>441.47</v>
      </c>
    </row>
    <row r="79" spans="1:9" x14ac:dyDescent="0.2">
      <c r="A79" s="4" t="s">
        <v>35</v>
      </c>
      <c r="B79" s="4" t="s">
        <v>51</v>
      </c>
      <c r="C79" s="4" t="s">
        <v>69</v>
      </c>
      <c r="D79" s="4" t="s">
        <v>74</v>
      </c>
      <c r="E79" s="6">
        <v>518.07000000000005</v>
      </c>
      <c r="F79" s="7">
        <v>7</v>
      </c>
      <c r="G79" s="5">
        <v>0.05</v>
      </c>
      <c r="H79" s="8" t="s">
        <v>130</v>
      </c>
      <c r="I79" s="6">
        <v>172.26</v>
      </c>
    </row>
    <row r="80" spans="1:9" x14ac:dyDescent="0.2">
      <c r="A80" s="4" t="s">
        <v>16</v>
      </c>
      <c r="B80" s="4" t="s">
        <v>44</v>
      </c>
      <c r="C80" s="4" t="s">
        <v>66</v>
      </c>
      <c r="D80" s="4" t="s">
        <v>75</v>
      </c>
      <c r="E80" s="6">
        <v>1111.3399999999999</v>
      </c>
      <c r="F80" s="7">
        <v>1</v>
      </c>
      <c r="G80" s="5">
        <v>0</v>
      </c>
      <c r="H80" s="8" t="s">
        <v>131</v>
      </c>
      <c r="I80" s="6">
        <v>500.1</v>
      </c>
    </row>
    <row r="81" spans="1:9" x14ac:dyDescent="0.2">
      <c r="A81" s="4" t="s">
        <v>13</v>
      </c>
      <c r="B81" s="4" t="s">
        <v>45</v>
      </c>
      <c r="C81" s="4" t="s">
        <v>67</v>
      </c>
      <c r="D81" s="4" t="s">
        <v>72</v>
      </c>
      <c r="E81" s="6">
        <v>1291.47</v>
      </c>
      <c r="F81" s="7">
        <v>18</v>
      </c>
      <c r="G81" s="5">
        <v>0.1</v>
      </c>
      <c r="H81" s="8" t="s">
        <v>132</v>
      </c>
      <c r="I81" s="6">
        <v>581.16</v>
      </c>
    </row>
    <row r="82" spans="1:9" x14ac:dyDescent="0.2">
      <c r="A82" s="4" t="s">
        <v>14</v>
      </c>
      <c r="B82" s="4" t="s">
        <v>57</v>
      </c>
      <c r="C82" s="4" t="s">
        <v>69</v>
      </c>
      <c r="D82" s="4" t="s">
        <v>71</v>
      </c>
      <c r="E82" s="6">
        <v>679.71</v>
      </c>
      <c r="F82" s="7">
        <v>19</v>
      </c>
      <c r="G82" s="5">
        <v>0</v>
      </c>
      <c r="H82" s="8" t="s">
        <v>133</v>
      </c>
      <c r="I82" s="6">
        <v>271.88</v>
      </c>
    </row>
    <row r="83" spans="1:9" x14ac:dyDescent="0.2">
      <c r="A83" s="4" t="s">
        <v>33</v>
      </c>
      <c r="B83" s="4" t="s">
        <v>46</v>
      </c>
      <c r="C83" s="4" t="s">
        <v>67</v>
      </c>
      <c r="D83" s="4" t="s">
        <v>74</v>
      </c>
      <c r="E83" s="6">
        <v>1143.69</v>
      </c>
      <c r="F83" s="7">
        <v>17</v>
      </c>
      <c r="G83" s="5">
        <v>0</v>
      </c>
      <c r="H83" s="8" t="s">
        <v>133</v>
      </c>
      <c r="I83" s="6">
        <v>400.29</v>
      </c>
    </row>
    <row r="84" spans="1:9" x14ac:dyDescent="0.2">
      <c r="A84" s="4" t="s">
        <v>25</v>
      </c>
      <c r="B84" s="4" t="s">
        <v>54</v>
      </c>
      <c r="C84" s="4" t="s">
        <v>70</v>
      </c>
      <c r="D84" s="4" t="s">
        <v>73</v>
      </c>
      <c r="E84" s="6">
        <v>790.08</v>
      </c>
      <c r="F84" s="7">
        <v>7</v>
      </c>
      <c r="G84" s="5">
        <v>0.1</v>
      </c>
      <c r="H84" s="8" t="s">
        <v>134</v>
      </c>
      <c r="I84" s="6">
        <v>177.77</v>
      </c>
    </row>
    <row r="85" spans="1:9" x14ac:dyDescent="0.2">
      <c r="A85" s="4" t="s">
        <v>12</v>
      </c>
      <c r="B85" s="4" t="s">
        <v>53</v>
      </c>
      <c r="C85" s="4" t="s">
        <v>70</v>
      </c>
      <c r="D85" s="4" t="s">
        <v>71</v>
      </c>
      <c r="E85" s="6">
        <v>1070.68</v>
      </c>
      <c r="F85" s="7">
        <v>7</v>
      </c>
      <c r="G85" s="5">
        <v>0.05</v>
      </c>
      <c r="H85" s="8" t="s">
        <v>134</v>
      </c>
      <c r="I85" s="6">
        <v>406.86</v>
      </c>
    </row>
    <row r="86" spans="1:9" x14ac:dyDescent="0.2">
      <c r="A86" s="4" t="s">
        <v>28</v>
      </c>
      <c r="B86" s="4" t="s">
        <v>47</v>
      </c>
      <c r="C86" s="4" t="s">
        <v>66</v>
      </c>
      <c r="D86" s="4" t="s">
        <v>72</v>
      </c>
      <c r="E86" s="6">
        <v>1168.8900000000001</v>
      </c>
      <c r="F86" s="7">
        <v>4</v>
      </c>
      <c r="G86" s="5">
        <v>0.1</v>
      </c>
      <c r="H86" s="8" t="s">
        <v>135</v>
      </c>
      <c r="I86" s="6">
        <v>526</v>
      </c>
    </row>
    <row r="87" spans="1:9" x14ac:dyDescent="0.2">
      <c r="A87" s="4" t="s">
        <v>32</v>
      </c>
      <c r="B87" s="4" t="s">
        <v>39</v>
      </c>
      <c r="C87" s="4" t="s">
        <v>68</v>
      </c>
      <c r="D87" s="4" t="s">
        <v>73</v>
      </c>
      <c r="E87" s="6">
        <v>1335.87</v>
      </c>
      <c r="F87" s="7">
        <v>17</v>
      </c>
      <c r="G87" s="5">
        <v>0</v>
      </c>
      <c r="H87" s="8" t="s">
        <v>135</v>
      </c>
      <c r="I87" s="6">
        <v>333.97</v>
      </c>
    </row>
    <row r="88" spans="1:9" x14ac:dyDescent="0.2">
      <c r="A88" s="4" t="s">
        <v>20</v>
      </c>
      <c r="B88" s="4" t="s">
        <v>57</v>
      </c>
      <c r="C88" s="4" t="s">
        <v>67</v>
      </c>
      <c r="D88" s="4" t="s">
        <v>74</v>
      </c>
      <c r="E88" s="6">
        <v>873.7</v>
      </c>
      <c r="F88" s="7">
        <v>9</v>
      </c>
      <c r="G88" s="5">
        <v>0</v>
      </c>
      <c r="H88" s="8" t="s">
        <v>136</v>
      </c>
      <c r="I88" s="6">
        <v>305.8</v>
      </c>
    </row>
    <row r="89" spans="1:9" x14ac:dyDescent="0.2">
      <c r="A89" s="4" t="s">
        <v>35</v>
      </c>
      <c r="B89" s="4" t="s">
        <v>62</v>
      </c>
      <c r="C89" s="4" t="s">
        <v>66</v>
      </c>
      <c r="D89" s="4" t="s">
        <v>75</v>
      </c>
      <c r="E89" s="6">
        <v>1443.98</v>
      </c>
      <c r="F89" s="7">
        <v>19</v>
      </c>
      <c r="G89" s="5">
        <v>0</v>
      </c>
      <c r="H89" s="8" t="s">
        <v>137</v>
      </c>
      <c r="I89" s="6">
        <v>649.79</v>
      </c>
    </row>
    <row r="90" spans="1:9" x14ac:dyDescent="0.2">
      <c r="A90" s="4" t="s">
        <v>20</v>
      </c>
      <c r="B90" s="4" t="s">
        <v>42</v>
      </c>
      <c r="C90" s="4" t="s">
        <v>67</v>
      </c>
      <c r="D90" s="4" t="s">
        <v>75</v>
      </c>
      <c r="E90" s="6">
        <v>1154.33</v>
      </c>
      <c r="F90" s="7">
        <v>11</v>
      </c>
      <c r="G90" s="5">
        <v>0.15</v>
      </c>
      <c r="H90" s="8" t="s">
        <v>138</v>
      </c>
      <c r="I90" s="6">
        <v>441.53</v>
      </c>
    </row>
    <row r="91" spans="1:9" x14ac:dyDescent="0.2">
      <c r="A91" s="4" t="s">
        <v>24</v>
      </c>
      <c r="B91" s="4" t="s">
        <v>54</v>
      </c>
      <c r="C91" s="4" t="s">
        <v>68</v>
      </c>
      <c r="D91" s="4" t="s">
        <v>71</v>
      </c>
      <c r="E91" s="6">
        <v>1264.49</v>
      </c>
      <c r="F91" s="7">
        <v>16</v>
      </c>
      <c r="G91" s="5">
        <v>0.05</v>
      </c>
      <c r="H91" s="8" t="s">
        <v>138</v>
      </c>
      <c r="I91" s="6">
        <v>480.51</v>
      </c>
    </row>
    <row r="92" spans="1:9" x14ac:dyDescent="0.2">
      <c r="A92" s="4" t="s">
        <v>14</v>
      </c>
      <c r="B92" s="4" t="s">
        <v>63</v>
      </c>
      <c r="C92" s="4" t="s">
        <v>66</v>
      </c>
      <c r="D92" s="4" t="s">
        <v>74</v>
      </c>
      <c r="E92" s="6">
        <v>1101.55</v>
      </c>
      <c r="F92" s="7">
        <v>4</v>
      </c>
      <c r="G92" s="5">
        <v>0.1</v>
      </c>
      <c r="H92" s="8" t="s">
        <v>139</v>
      </c>
      <c r="I92" s="6">
        <v>346.99</v>
      </c>
    </row>
    <row r="93" spans="1:9" x14ac:dyDescent="0.2">
      <c r="A93" s="4" t="s">
        <v>36</v>
      </c>
      <c r="B93" s="4" t="s">
        <v>40</v>
      </c>
      <c r="C93" s="4" t="s">
        <v>68</v>
      </c>
      <c r="D93" s="4" t="s">
        <v>74</v>
      </c>
      <c r="E93" s="6">
        <v>727.73</v>
      </c>
      <c r="F93" s="7">
        <v>1</v>
      </c>
      <c r="G93" s="5">
        <v>0.1</v>
      </c>
      <c r="H93" s="8" t="s">
        <v>140</v>
      </c>
      <c r="I93" s="6">
        <v>229.23</v>
      </c>
    </row>
    <row r="94" spans="1:9" x14ac:dyDescent="0.2">
      <c r="A94" s="4" t="s">
        <v>37</v>
      </c>
      <c r="B94" s="4" t="s">
        <v>48</v>
      </c>
      <c r="C94" s="4" t="s">
        <v>67</v>
      </c>
      <c r="D94" s="4" t="s">
        <v>75</v>
      </c>
      <c r="E94" s="6">
        <v>875.41</v>
      </c>
      <c r="F94" s="7">
        <v>13</v>
      </c>
      <c r="G94" s="5">
        <v>0.15</v>
      </c>
      <c r="H94" s="8" t="s">
        <v>140</v>
      </c>
      <c r="I94" s="6">
        <v>334.84</v>
      </c>
    </row>
    <row r="95" spans="1:9" x14ac:dyDescent="0.2">
      <c r="A95" s="4" t="s">
        <v>32</v>
      </c>
      <c r="B95" s="4" t="s">
        <v>42</v>
      </c>
      <c r="C95" s="4" t="s">
        <v>66</v>
      </c>
      <c r="D95" s="4" t="s">
        <v>73</v>
      </c>
      <c r="E95" s="6">
        <v>1158.94</v>
      </c>
      <c r="F95" s="7">
        <v>19</v>
      </c>
      <c r="G95" s="5">
        <v>0.2</v>
      </c>
      <c r="H95" s="8" t="s">
        <v>141</v>
      </c>
      <c r="I95" s="6">
        <v>231.79</v>
      </c>
    </row>
    <row r="96" spans="1:9" x14ac:dyDescent="0.2">
      <c r="A96" s="4" t="s">
        <v>38</v>
      </c>
      <c r="B96" s="4" t="s">
        <v>52</v>
      </c>
      <c r="C96" s="4" t="s">
        <v>68</v>
      </c>
      <c r="D96" s="4" t="s">
        <v>71</v>
      </c>
      <c r="E96" s="6">
        <v>966.3</v>
      </c>
      <c r="F96" s="7">
        <v>2</v>
      </c>
      <c r="G96" s="5">
        <v>0.15</v>
      </c>
      <c r="H96" s="8" t="s">
        <v>142</v>
      </c>
      <c r="I96" s="6">
        <v>328.54</v>
      </c>
    </row>
    <row r="97" spans="1:9" x14ac:dyDescent="0.2">
      <c r="A97" s="4" t="s">
        <v>33</v>
      </c>
      <c r="B97" s="4" t="s">
        <v>41</v>
      </c>
      <c r="C97" s="4" t="s">
        <v>68</v>
      </c>
      <c r="D97" s="4" t="s">
        <v>71</v>
      </c>
      <c r="E97" s="6">
        <v>917.48</v>
      </c>
      <c r="F97" s="7">
        <v>6</v>
      </c>
      <c r="G97" s="5">
        <v>0</v>
      </c>
      <c r="H97" s="8" t="s">
        <v>143</v>
      </c>
      <c r="I97" s="6">
        <v>366.99</v>
      </c>
    </row>
    <row r="98" spans="1:9" x14ac:dyDescent="0.2">
      <c r="A98" s="4" t="s">
        <v>21</v>
      </c>
      <c r="B98" s="4" t="s">
        <v>60</v>
      </c>
      <c r="C98" s="4" t="s">
        <v>66</v>
      </c>
      <c r="D98" s="4" t="s">
        <v>74</v>
      </c>
      <c r="E98" s="6">
        <v>1172.97</v>
      </c>
      <c r="F98" s="7">
        <v>7</v>
      </c>
      <c r="G98" s="5">
        <v>0.15</v>
      </c>
      <c r="H98" s="8" t="s">
        <v>144</v>
      </c>
      <c r="I98" s="6">
        <v>348.96</v>
      </c>
    </row>
    <row r="99" spans="1:9" x14ac:dyDescent="0.2">
      <c r="A99" s="4" t="s">
        <v>27</v>
      </c>
      <c r="B99" s="4" t="s">
        <v>42</v>
      </c>
      <c r="C99" s="4" t="s">
        <v>69</v>
      </c>
      <c r="D99" s="4" t="s">
        <v>72</v>
      </c>
      <c r="E99" s="6">
        <v>1205.82</v>
      </c>
      <c r="F99" s="7">
        <v>11</v>
      </c>
      <c r="G99" s="5">
        <v>0.1</v>
      </c>
      <c r="H99" s="8" t="s">
        <v>144</v>
      </c>
      <c r="I99" s="6">
        <v>542.62</v>
      </c>
    </row>
    <row r="100" spans="1:9" x14ac:dyDescent="0.2">
      <c r="A100" s="4" t="s">
        <v>11</v>
      </c>
      <c r="B100" s="4" t="s">
        <v>62</v>
      </c>
      <c r="C100" s="4" t="s">
        <v>66</v>
      </c>
      <c r="D100" s="4" t="s">
        <v>75</v>
      </c>
      <c r="E100" s="6">
        <v>826.93</v>
      </c>
      <c r="F100" s="7">
        <v>10</v>
      </c>
      <c r="G100" s="5">
        <v>0.2</v>
      </c>
      <c r="H100" s="8" t="s">
        <v>145</v>
      </c>
      <c r="I100" s="6">
        <v>297.69</v>
      </c>
    </row>
    <row r="101" spans="1:9" x14ac:dyDescent="0.2">
      <c r="A101" s="4" t="s">
        <v>32</v>
      </c>
      <c r="B101" s="4" t="s">
        <v>42</v>
      </c>
      <c r="C101" s="4" t="s">
        <v>70</v>
      </c>
      <c r="D101" s="4" t="s">
        <v>72</v>
      </c>
      <c r="E101" s="6">
        <v>902.19</v>
      </c>
      <c r="F101" s="7">
        <v>12</v>
      </c>
      <c r="G101" s="5">
        <v>0</v>
      </c>
      <c r="H101" s="8" t="s">
        <v>145</v>
      </c>
      <c r="I101" s="6">
        <v>451.1</v>
      </c>
    </row>
    <row r="102" spans="1:9" x14ac:dyDescent="0.2">
      <c r="A102" s="4" t="s">
        <v>37</v>
      </c>
      <c r="B102" s="4" t="s">
        <v>48</v>
      </c>
      <c r="C102" s="4" t="s">
        <v>69</v>
      </c>
      <c r="D102" s="4" t="s">
        <v>71</v>
      </c>
      <c r="E102" s="6">
        <v>585.97</v>
      </c>
      <c r="F102" s="7">
        <v>17</v>
      </c>
      <c r="G102" s="5">
        <v>0.1</v>
      </c>
      <c r="H102" s="8" t="s">
        <v>146</v>
      </c>
      <c r="I102" s="6">
        <v>210.95</v>
      </c>
    </row>
    <row r="103" spans="1:9" x14ac:dyDescent="0.2">
      <c r="A103" s="4" t="s">
        <v>29</v>
      </c>
      <c r="B103" s="4" t="s">
        <v>43</v>
      </c>
      <c r="C103" s="4" t="s">
        <v>69</v>
      </c>
      <c r="D103" s="4" t="s">
        <v>72</v>
      </c>
      <c r="E103" s="6">
        <v>990.19</v>
      </c>
      <c r="F103" s="7">
        <v>8</v>
      </c>
      <c r="G103" s="5">
        <v>0.1</v>
      </c>
      <c r="H103" s="8" t="s">
        <v>146</v>
      </c>
      <c r="I103" s="6">
        <v>445.59</v>
      </c>
    </row>
    <row r="104" spans="1:9" x14ac:dyDescent="0.2">
      <c r="A104" s="4" t="s">
        <v>22</v>
      </c>
      <c r="B104" s="4" t="s">
        <v>58</v>
      </c>
      <c r="C104" s="4" t="s">
        <v>70</v>
      </c>
      <c r="D104" s="4" t="s">
        <v>73</v>
      </c>
      <c r="E104" s="6">
        <v>1014.09</v>
      </c>
      <c r="F104" s="7">
        <v>13</v>
      </c>
      <c r="G104" s="5">
        <v>0.2</v>
      </c>
      <c r="H104" s="8" t="s">
        <v>147</v>
      </c>
      <c r="I104" s="6">
        <v>202.82</v>
      </c>
    </row>
    <row r="105" spans="1:9" x14ac:dyDescent="0.2">
      <c r="A105" s="4" t="s">
        <v>10</v>
      </c>
      <c r="B105" s="4" t="s">
        <v>53</v>
      </c>
      <c r="C105" s="4" t="s">
        <v>69</v>
      </c>
      <c r="D105" s="4" t="s">
        <v>73</v>
      </c>
      <c r="E105" s="6">
        <v>925.29</v>
      </c>
      <c r="F105" s="7">
        <v>17</v>
      </c>
      <c r="G105" s="5">
        <v>0</v>
      </c>
      <c r="H105" s="8" t="s">
        <v>148</v>
      </c>
      <c r="I105" s="6">
        <v>231.32</v>
      </c>
    </row>
    <row r="106" spans="1:9" x14ac:dyDescent="0.2">
      <c r="A106" s="4" t="s">
        <v>26</v>
      </c>
      <c r="B106" s="4" t="s">
        <v>52</v>
      </c>
      <c r="C106" s="4" t="s">
        <v>67</v>
      </c>
      <c r="D106" s="4" t="s">
        <v>74</v>
      </c>
      <c r="E106" s="6">
        <v>1286.54</v>
      </c>
      <c r="F106" s="7">
        <v>8</v>
      </c>
      <c r="G106" s="5">
        <v>0</v>
      </c>
      <c r="H106" s="8" t="s">
        <v>149</v>
      </c>
      <c r="I106" s="6">
        <v>450.29</v>
      </c>
    </row>
    <row r="107" spans="1:9" x14ac:dyDescent="0.2">
      <c r="A107" s="4" t="s">
        <v>19</v>
      </c>
      <c r="B107" s="4" t="s">
        <v>62</v>
      </c>
      <c r="C107" s="4" t="s">
        <v>68</v>
      </c>
      <c r="D107" s="4" t="s">
        <v>71</v>
      </c>
      <c r="E107" s="6">
        <v>961.62</v>
      </c>
      <c r="F107" s="7">
        <v>8</v>
      </c>
      <c r="G107" s="5">
        <v>0.2</v>
      </c>
      <c r="H107" s="8" t="s">
        <v>150</v>
      </c>
      <c r="I107" s="6">
        <v>307.72000000000003</v>
      </c>
    </row>
    <row r="108" spans="1:9" x14ac:dyDescent="0.2">
      <c r="A108" s="4" t="s">
        <v>22</v>
      </c>
      <c r="B108" s="4" t="s">
        <v>42</v>
      </c>
      <c r="C108" s="4" t="s">
        <v>67</v>
      </c>
      <c r="D108" s="4" t="s">
        <v>71</v>
      </c>
      <c r="E108" s="6">
        <v>1081.1400000000001</v>
      </c>
      <c r="F108" s="7">
        <v>19</v>
      </c>
      <c r="G108" s="5">
        <v>0.15</v>
      </c>
      <c r="H108" s="8" t="s">
        <v>150</v>
      </c>
      <c r="I108" s="6">
        <v>367.59</v>
      </c>
    </row>
    <row r="109" spans="1:9" x14ac:dyDescent="0.2">
      <c r="A109" s="4" t="s">
        <v>28</v>
      </c>
      <c r="B109" s="4" t="s">
        <v>42</v>
      </c>
      <c r="C109" s="4" t="s">
        <v>66</v>
      </c>
      <c r="D109" s="4" t="s">
        <v>72</v>
      </c>
      <c r="E109" s="6">
        <v>1923.66</v>
      </c>
      <c r="F109" s="7">
        <v>9</v>
      </c>
      <c r="G109" s="5">
        <v>0.2</v>
      </c>
      <c r="H109" s="8" t="s">
        <v>151</v>
      </c>
      <c r="I109" s="6">
        <v>769.46</v>
      </c>
    </row>
    <row r="110" spans="1:9" x14ac:dyDescent="0.2">
      <c r="A110" s="4" t="s">
        <v>26</v>
      </c>
      <c r="B110" s="4" t="s">
        <v>63</v>
      </c>
      <c r="C110" s="4" t="s">
        <v>70</v>
      </c>
      <c r="D110" s="4" t="s">
        <v>72</v>
      </c>
      <c r="E110" s="6">
        <v>728.71</v>
      </c>
      <c r="F110" s="7">
        <v>14</v>
      </c>
      <c r="G110" s="5">
        <v>0.1</v>
      </c>
      <c r="H110" s="8" t="s">
        <v>152</v>
      </c>
      <c r="I110" s="6">
        <v>327.92</v>
      </c>
    </row>
    <row r="111" spans="1:9" x14ac:dyDescent="0.2">
      <c r="A111" s="4" t="s">
        <v>9</v>
      </c>
      <c r="B111" s="4" t="s">
        <v>46</v>
      </c>
      <c r="C111" s="4" t="s">
        <v>70</v>
      </c>
      <c r="D111" s="4" t="s">
        <v>72</v>
      </c>
      <c r="E111" s="6">
        <v>1301.8900000000001</v>
      </c>
      <c r="F111" s="7">
        <v>7</v>
      </c>
      <c r="G111" s="5">
        <v>0.15</v>
      </c>
      <c r="H111" s="8" t="s">
        <v>152</v>
      </c>
      <c r="I111" s="6">
        <v>553.29999999999995</v>
      </c>
    </row>
    <row r="112" spans="1:9" x14ac:dyDescent="0.2">
      <c r="A112" s="4" t="s">
        <v>34</v>
      </c>
      <c r="B112" s="4" t="s">
        <v>63</v>
      </c>
      <c r="C112" s="4" t="s">
        <v>67</v>
      </c>
      <c r="D112" s="4" t="s">
        <v>71</v>
      </c>
      <c r="E112" s="6">
        <v>980.18</v>
      </c>
      <c r="F112" s="7">
        <v>16</v>
      </c>
      <c r="G112" s="5">
        <v>0.1</v>
      </c>
      <c r="H112" s="8" t="s">
        <v>153</v>
      </c>
      <c r="I112" s="6">
        <v>352.86</v>
      </c>
    </row>
    <row r="113" spans="1:9" x14ac:dyDescent="0.2">
      <c r="A113" s="4" t="s">
        <v>37</v>
      </c>
      <c r="B113" s="4" t="s">
        <v>42</v>
      </c>
      <c r="C113" s="4" t="s">
        <v>66</v>
      </c>
      <c r="D113" s="4" t="s">
        <v>72</v>
      </c>
      <c r="E113" s="6">
        <v>697.57</v>
      </c>
      <c r="F113" s="7">
        <v>17</v>
      </c>
      <c r="G113" s="5">
        <v>0.1</v>
      </c>
      <c r="H113" s="8" t="s">
        <v>154</v>
      </c>
      <c r="I113" s="6">
        <v>313.91000000000003</v>
      </c>
    </row>
    <row r="114" spans="1:9" x14ac:dyDescent="0.2">
      <c r="A114" s="4" t="s">
        <v>23</v>
      </c>
      <c r="B114" s="4" t="s">
        <v>65</v>
      </c>
      <c r="C114" s="4" t="s">
        <v>66</v>
      </c>
      <c r="D114" s="4" t="s">
        <v>74</v>
      </c>
      <c r="E114" s="6">
        <v>1193.6099999999999</v>
      </c>
      <c r="F114" s="7">
        <v>1</v>
      </c>
      <c r="G114" s="5">
        <v>0.15</v>
      </c>
      <c r="H114" s="8" t="s">
        <v>154</v>
      </c>
      <c r="I114" s="6">
        <v>355.1</v>
      </c>
    </row>
    <row r="115" spans="1:9" x14ac:dyDescent="0.2">
      <c r="A115" s="4" t="s">
        <v>17</v>
      </c>
      <c r="B115" s="4" t="s">
        <v>48</v>
      </c>
      <c r="C115" s="4" t="s">
        <v>68</v>
      </c>
      <c r="D115" s="4" t="s">
        <v>73</v>
      </c>
      <c r="E115" s="6">
        <v>771.02</v>
      </c>
      <c r="F115" s="7">
        <v>1</v>
      </c>
      <c r="G115" s="5">
        <v>0</v>
      </c>
      <c r="H115" s="8" t="s">
        <v>155</v>
      </c>
      <c r="I115" s="6">
        <v>192.76</v>
      </c>
    </row>
    <row r="116" spans="1:9" x14ac:dyDescent="0.2">
      <c r="A116" s="4" t="s">
        <v>32</v>
      </c>
      <c r="B116" s="4" t="s">
        <v>64</v>
      </c>
      <c r="C116" s="4" t="s">
        <v>69</v>
      </c>
      <c r="D116" s="4" t="s">
        <v>72</v>
      </c>
      <c r="E116" s="6">
        <v>661.09</v>
      </c>
      <c r="F116" s="7">
        <v>1</v>
      </c>
      <c r="G116" s="5">
        <v>0.2</v>
      </c>
      <c r="H116" s="8" t="s">
        <v>156</v>
      </c>
      <c r="I116" s="6">
        <v>264.44</v>
      </c>
    </row>
    <row r="117" spans="1:9" x14ac:dyDescent="0.2">
      <c r="A117" s="4" t="s">
        <v>10</v>
      </c>
      <c r="B117" s="4" t="s">
        <v>57</v>
      </c>
      <c r="C117" s="4" t="s">
        <v>66</v>
      </c>
      <c r="D117" s="4" t="s">
        <v>73</v>
      </c>
      <c r="E117" s="6">
        <v>688.83</v>
      </c>
      <c r="F117" s="7">
        <v>15</v>
      </c>
      <c r="G117" s="5">
        <v>0</v>
      </c>
      <c r="H117" s="8" t="s">
        <v>157</v>
      </c>
      <c r="I117" s="6">
        <v>172.21</v>
      </c>
    </row>
    <row r="118" spans="1:9" x14ac:dyDescent="0.2">
      <c r="A118" s="4" t="s">
        <v>36</v>
      </c>
      <c r="B118" s="4" t="s">
        <v>44</v>
      </c>
      <c r="C118" s="4" t="s">
        <v>70</v>
      </c>
      <c r="D118" s="4" t="s">
        <v>71</v>
      </c>
      <c r="E118" s="6">
        <v>1249.0999999999999</v>
      </c>
      <c r="F118" s="7">
        <v>4</v>
      </c>
      <c r="G118" s="5">
        <v>0.05</v>
      </c>
      <c r="H118" s="8" t="s">
        <v>158</v>
      </c>
      <c r="I118" s="6">
        <v>474.66</v>
      </c>
    </row>
    <row r="119" spans="1:9" x14ac:dyDescent="0.2">
      <c r="A119" s="4" t="s">
        <v>22</v>
      </c>
      <c r="B119" s="4" t="s">
        <v>42</v>
      </c>
      <c r="C119" s="4" t="s">
        <v>67</v>
      </c>
      <c r="D119" s="4" t="s">
        <v>75</v>
      </c>
      <c r="E119" s="6">
        <v>1014.22</v>
      </c>
      <c r="F119" s="7">
        <v>14</v>
      </c>
      <c r="G119" s="5">
        <v>0.05</v>
      </c>
      <c r="H119" s="8" t="s">
        <v>159</v>
      </c>
      <c r="I119" s="6">
        <v>433.58</v>
      </c>
    </row>
    <row r="120" spans="1:9" x14ac:dyDescent="0.2">
      <c r="A120" s="4" t="s">
        <v>26</v>
      </c>
      <c r="B120" s="4" t="s">
        <v>53</v>
      </c>
      <c r="C120" s="4" t="s">
        <v>67</v>
      </c>
      <c r="D120" s="4" t="s">
        <v>71</v>
      </c>
      <c r="E120" s="6">
        <v>1010.58</v>
      </c>
      <c r="F120" s="7">
        <v>2</v>
      </c>
      <c r="G120" s="5">
        <v>0.15</v>
      </c>
      <c r="H120" s="8" t="s">
        <v>160</v>
      </c>
      <c r="I120" s="6">
        <v>343.6</v>
      </c>
    </row>
    <row r="121" spans="1:9" x14ac:dyDescent="0.2">
      <c r="A121" s="4" t="s">
        <v>16</v>
      </c>
      <c r="B121" s="4" t="s">
        <v>59</v>
      </c>
      <c r="C121" s="4" t="s">
        <v>69</v>
      </c>
      <c r="D121" s="4" t="s">
        <v>74</v>
      </c>
      <c r="E121" s="6">
        <v>957.29</v>
      </c>
      <c r="F121" s="7">
        <v>4</v>
      </c>
      <c r="G121" s="5">
        <v>0.05</v>
      </c>
      <c r="H121" s="8" t="s">
        <v>160</v>
      </c>
      <c r="I121" s="6">
        <v>318.3</v>
      </c>
    </row>
    <row r="122" spans="1:9" x14ac:dyDescent="0.2">
      <c r="A122" s="4" t="s">
        <v>15</v>
      </c>
      <c r="B122" s="4" t="s">
        <v>51</v>
      </c>
      <c r="C122" s="4" t="s">
        <v>69</v>
      </c>
      <c r="D122" s="4" t="s">
        <v>74</v>
      </c>
      <c r="E122" s="6">
        <v>1077.92</v>
      </c>
      <c r="F122" s="7">
        <v>3</v>
      </c>
      <c r="G122" s="5">
        <v>0.05</v>
      </c>
      <c r="H122" s="8" t="s">
        <v>161</v>
      </c>
      <c r="I122" s="6">
        <v>358.41</v>
      </c>
    </row>
    <row r="123" spans="1:9" x14ac:dyDescent="0.2">
      <c r="A123" s="4" t="s">
        <v>25</v>
      </c>
      <c r="B123" s="4" t="s">
        <v>54</v>
      </c>
      <c r="C123" s="4" t="s">
        <v>68</v>
      </c>
      <c r="D123" s="4" t="s">
        <v>72</v>
      </c>
      <c r="E123" s="6">
        <v>1163.01</v>
      </c>
      <c r="F123" s="7">
        <v>5</v>
      </c>
      <c r="G123" s="5">
        <v>0</v>
      </c>
      <c r="H123" s="8" t="s">
        <v>162</v>
      </c>
      <c r="I123" s="6">
        <v>581.5</v>
      </c>
    </row>
    <row r="124" spans="1:9" x14ac:dyDescent="0.2">
      <c r="A124" s="4" t="s">
        <v>26</v>
      </c>
      <c r="B124" s="4" t="s">
        <v>51</v>
      </c>
      <c r="C124" s="4" t="s">
        <v>67</v>
      </c>
      <c r="D124" s="4" t="s">
        <v>75</v>
      </c>
      <c r="E124" s="6">
        <v>1014.56</v>
      </c>
      <c r="F124" s="7">
        <v>10</v>
      </c>
      <c r="G124" s="5">
        <v>0.1</v>
      </c>
      <c r="H124" s="8" t="s">
        <v>163</v>
      </c>
      <c r="I124" s="6">
        <v>410.9</v>
      </c>
    </row>
    <row r="125" spans="1:9" x14ac:dyDescent="0.2">
      <c r="A125" s="4" t="s">
        <v>9</v>
      </c>
      <c r="B125" s="4" t="s">
        <v>41</v>
      </c>
      <c r="C125" s="4" t="s">
        <v>68</v>
      </c>
      <c r="D125" s="4" t="s">
        <v>73</v>
      </c>
      <c r="E125" s="6">
        <v>718.04</v>
      </c>
      <c r="F125" s="7">
        <v>14</v>
      </c>
      <c r="G125" s="5">
        <v>0</v>
      </c>
      <c r="H125" s="8" t="s">
        <v>164</v>
      </c>
      <c r="I125" s="6">
        <v>179.51</v>
      </c>
    </row>
    <row r="126" spans="1:9" x14ac:dyDescent="0.2">
      <c r="A126" s="4" t="s">
        <v>35</v>
      </c>
      <c r="B126" s="4" t="s">
        <v>41</v>
      </c>
      <c r="C126" s="4" t="s">
        <v>70</v>
      </c>
      <c r="D126" s="4" t="s">
        <v>72</v>
      </c>
      <c r="E126" s="6">
        <v>1277.8499999999999</v>
      </c>
      <c r="F126" s="7">
        <v>18</v>
      </c>
      <c r="G126" s="5">
        <v>0.2</v>
      </c>
      <c r="H126" s="8" t="s">
        <v>164</v>
      </c>
      <c r="I126" s="6">
        <v>511.14</v>
      </c>
    </row>
    <row r="127" spans="1:9" x14ac:dyDescent="0.2">
      <c r="A127" s="4" t="s">
        <v>34</v>
      </c>
      <c r="B127" s="4" t="s">
        <v>42</v>
      </c>
      <c r="C127" s="4" t="s">
        <v>69</v>
      </c>
      <c r="D127" s="4" t="s">
        <v>73</v>
      </c>
      <c r="E127" s="6">
        <v>706.73</v>
      </c>
      <c r="F127" s="7">
        <v>1</v>
      </c>
      <c r="G127" s="5">
        <v>0.15</v>
      </c>
      <c r="H127" s="8" t="s">
        <v>164</v>
      </c>
      <c r="I127" s="6">
        <v>150.18</v>
      </c>
    </row>
    <row r="128" spans="1:9" x14ac:dyDescent="0.2">
      <c r="A128" s="4" t="s">
        <v>31</v>
      </c>
      <c r="B128" s="4" t="s">
        <v>54</v>
      </c>
      <c r="C128" s="4" t="s">
        <v>67</v>
      </c>
      <c r="D128" s="4" t="s">
        <v>73</v>
      </c>
      <c r="E128" s="6">
        <v>1410.59</v>
      </c>
      <c r="F128" s="7">
        <v>15</v>
      </c>
      <c r="G128" s="5">
        <v>0</v>
      </c>
      <c r="H128" s="8" t="s">
        <v>165</v>
      </c>
      <c r="I128" s="6">
        <v>352.65</v>
      </c>
    </row>
    <row r="129" spans="1:9" x14ac:dyDescent="0.2">
      <c r="A129" s="4" t="s">
        <v>17</v>
      </c>
      <c r="B129" s="4" t="s">
        <v>60</v>
      </c>
      <c r="C129" s="4" t="s">
        <v>68</v>
      </c>
      <c r="D129" s="4" t="s">
        <v>74</v>
      </c>
      <c r="E129" s="6">
        <v>1350.33</v>
      </c>
      <c r="F129" s="7">
        <v>10</v>
      </c>
      <c r="G129" s="5">
        <v>0</v>
      </c>
      <c r="H129" s="8" t="s">
        <v>165</v>
      </c>
      <c r="I129" s="6">
        <v>472.62</v>
      </c>
    </row>
    <row r="130" spans="1:9" x14ac:dyDescent="0.2">
      <c r="A130" s="4" t="s">
        <v>21</v>
      </c>
      <c r="B130" s="4" t="s">
        <v>51</v>
      </c>
      <c r="C130" s="4" t="s">
        <v>67</v>
      </c>
      <c r="D130" s="4" t="s">
        <v>73</v>
      </c>
      <c r="E130" s="6">
        <v>919.18</v>
      </c>
      <c r="F130" s="7">
        <v>4</v>
      </c>
      <c r="G130" s="5">
        <v>0.15</v>
      </c>
      <c r="H130" s="8" t="s">
        <v>165</v>
      </c>
      <c r="I130" s="6">
        <v>195.33</v>
      </c>
    </row>
    <row r="131" spans="1:9" x14ac:dyDescent="0.2">
      <c r="A131" s="4" t="s">
        <v>37</v>
      </c>
      <c r="B131" s="4" t="s">
        <v>42</v>
      </c>
      <c r="C131" s="4" t="s">
        <v>66</v>
      </c>
      <c r="D131" s="4" t="s">
        <v>73</v>
      </c>
      <c r="E131" s="6">
        <v>258.51</v>
      </c>
      <c r="F131" s="7">
        <v>19</v>
      </c>
      <c r="G131" s="5">
        <v>0</v>
      </c>
      <c r="H131" s="8" t="s">
        <v>166</v>
      </c>
      <c r="I131" s="6">
        <v>64.63</v>
      </c>
    </row>
    <row r="132" spans="1:9" x14ac:dyDescent="0.2">
      <c r="A132" s="4" t="s">
        <v>30</v>
      </c>
      <c r="B132" s="4" t="s">
        <v>60</v>
      </c>
      <c r="C132" s="4" t="s">
        <v>67</v>
      </c>
      <c r="D132" s="4" t="s">
        <v>71</v>
      </c>
      <c r="E132" s="6">
        <v>1213.48</v>
      </c>
      <c r="F132" s="7">
        <v>5</v>
      </c>
      <c r="G132" s="5">
        <v>0.05</v>
      </c>
      <c r="H132" s="8" t="s">
        <v>166</v>
      </c>
      <c r="I132" s="6">
        <v>461.12</v>
      </c>
    </row>
    <row r="133" spans="1:9" x14ac:dyDescent="0.2">
      <c r="A133" s="4" t="s">
        <v>27</v>
      </c>
      <c r="B133" s="4" t="s">
        <v>48</v>
      </c>
      <c r="C133" s="4" t="s">
        <v>70</v>
      </c>
      <c r="D133" s="4" t="s">
        <v>71</v>
      </c>
      <c r="E133" s="6">
        <v>1150.28</v>
      </c>
      <c r="F133" s="7">
        <v>8</v>
      </c>
      <c r="G133" s="5">
        <v>0.05</v>
      </c>
      <c r="H133" s="8" t="s">
        <v>167</v>
      </c>
      <c r="I133" s="6">
        <v>437.11</v>
      </c>
    </row>
    <row r="134" spans="1:9" x14ac:dyDescent="0.2">
      <c r="A134" s="4" t="s">
        <v>19</v>
      </c>
      <c r="B134" s="4" t="s">
        <v>65</v>
      </c>
      <c r="C134" s="4" t="s">
        <v>68</v>
      </c>
      <c r="D134" s="4" t="s">
        <v>74</v>
      </c>
      <c r="E134" s="6">
        <v>853.86</v>
      </c>
      <c r="F134" s="7">
        <v>8</v>
      </c>
      <c r="G134" s="5">
        <v>0.1</v>
      </c>
      <c r="H134" s="8" t="s">
        <v>167</v>
      </c>
      <c r="I134" s="6">
        <v>268.97000000000003</v>
      </c>
    </row>
    <row r="135" spans="1:9" x14ac:dyDescent="0.2">
      <c r="A135" s="4" t="s">
        <v>38</v>
      </c>
      <c r="B135" s="4" t="s">
        <v>51</v>
      </c>
      <c r="C135" s="4" t="s">
        <v>68</v>
      </c>
      <c r="D135" s="4" t="s">
        <v>73</v>
      </c>
      <c r="E135" s="6">
        <v>1061.04</v>
      </c>
      <c r="F135" s="7">
        <v>1</v>
      </c>
      <c r="G135" s="5">
        <v>0</v>
      </c>
      <c r="H135" s="8" t="s">
        <v>168</v>
      </c>
      <c r="I135" s="6">
        <v>265.26</v>
      </c>
    </row>
    <row r="136" spans="1:9" x14ac:dyDescent="0.2">
      <c r="A136" s="4" t="s">
        <v>15</v>
      </c>
      <c r="B136" s="4" t="s">
        <v>50</v>
      </c>
      <c r="C136" s="4" t="s">
        <v>66</v>
      </c>
      <c r="D136" s="4" t="s">
        <v>73</v>
      </c>
      <c r="E136" s="6">
        <v>894.55</v>
      </c>
      <c r="F136" s="7">
        <v>19</v>
      </c>
      <c r="G136" s="5">
        <v>0.2</v>
      </c>
      <c r="H136" s="8" t="s">
        <v>169</v>
      </c>
      <c r="I136" s="6">
        <v>178.91</v>
      </c>
    </row>
    <row r="137" spans="1:9" x14ac:dyDescent="0.2">
      <c r="A137" s="4" t="s">
        <v>14</v>
      </c>
      <c r="B137" s="4" t="s">
        <v>48</v>
      </c>
      <c r="C137" s="4" t="s">
        <v>69</v>
      </c>
      <c r="D137" s="4" t="s">
        <v>75</v>
      </c>
      <c r="E137" s="6">
        <v>833.91</v>
      </c>
      <c r="F137" s="7">
        <v>3</v>
      </c>
      <c r="G137" s="5">
        <v>0.05</v>
      </c>
      <c r="H137" s="8" t="s">
        <v>170</v>
      </c>
      <c r="I137" s="6">
        <v>356.5</v>
      </c>
    </row>
    <row r="138" spans="1:9" x14ac:dyDescent="0.2">
      <c r="A138" s="4" t="s">
        <v>28</v>
      </c>
      <c r="B138" s="4" t="s">
        <v>65</v>
      </c>
      <c r="C138" s="4" t="s">
        <v>66</v>
      </c>
      <c r="D138" s="4" t="s">
        <v>74</v>
      </c>
      <c r="E138" s="6">
        <v>820.19</v>
      </c>
      <c r="F138" s="7">
        <v>4</v>
      </c>
      <c r="G138" s="5">
        <v>0.2</v>
      </c>
      <c r="H138" s="8" t="s">
        <v>171</v>
      </c>
      <c r="I138" s="6">
        <v>229.65</v>
      </c>
    </row>
    <row r="139" spans="1:9" x14ac:dyDescent="0.2">
      <c r="A139" s="4" t="s">
        <v>28</v>
      </c>
      <c r="B139" s="4" t="s">
        <v>48</v>
      </c>
      <c r="C139" s="4" t="s">
        <v>70</v>
      </c>
      <c r="D139" s="4" t="s">
        <v>73</v>
      </c>
      <c r="E139" s="6">
        <v>511.74</v>
      </c>
      <c r="F139" s="7">
        <v>8</v>
      </c>
      <c r="G139" s="5">
        <v>0.05</v>
      </c>
      <c r="H139" s="8" t="s">
        <v>172</v>
      </c>
      <c r="I139" s="6">
        <v>121.54</v>
      </c>
    </row>
    <row r="140" spans="1:9" x14ac:dyDescent="0.2">
      <c r="A140" s="4" t="s">
        <v>31</v>
      </c>
      <c r="B140" s="4" t="s">
        <v>60</v>
      </c>
      <c r="C140" s="4" t="s">
        <v>68</v>
      </c>
      <c r="D140" s="4" t="s">
        <v>74</v>
      </c>
      <c r="E140" s="6">
        <v>806.03</v>
      </c>
      <c r="F140" s="7">
        <v>19</v>
      </c>
      <c r="G140" s="5">
        <v>0.05</v>
      </c>
      <c r="H140" s="8" t="s">
        <v>173</v>
      </c>
      <c r="I140" s="6">
        <v>268</v>
      </c>
    </row>
    <row r="141" spans="1:9" x14ac:dyDescent="0.2">
      <c r="A141" s="4" t="s">
        <v>15</v>
      </c>
      <c r="B141" s="4" t="s">
        <v>43</v>
      </c>
      <c r="C141" s="4" t="s">
        <v>70</v>
      </c>
      <c r="D141" s="4" t="s">
        <v>74</v>
      </c>
      <c r="E141" s="6">
        <v>1432.47</v>
      </c>
      <c r="F141" s="7">
        <v>16</v>
      </c>
      <c r="G141" s="5">
        <v>0.15</v>
      </c>
      <c r="H141" s="8" t="s">
        <v>174</v>
      </c>
      <c r="I141" s="6">
        <v>426.16</v>
      </c>
    </row>
    <row r="142" spans="1:9" x14ac:dyDescent="0.2">
      <c r="A142" s="4" t="s">
        <v>37</v>
      </c>
      <c r="B142" s="4" t="s">
        <v>44</v>
      </c>
      <c r="C142" s="4" t="s">
        <v>70</v>
      </c>
      <c r="D142" s="4" t="s">
        <v>73</v>
      </c>
      <c r="E142" s="6">
        <v>1488.58</v>
      </c>
      <c r="F142" s="7">
        <v>10</v>
      </c>
      <c r="G142" s="5">
        <v>0.15</v>
      </c>
      <c r="H142" s="8" t="s">
        <v>174</v>
      </c>
      <c r="I142" s="6">
        <v>316.32</v>
      </c>
    </row>
    <row r="143" spans="1:9" x14ac:dyDescent="0.2">
      <c r="A143" s="4" t="s">
        <v>16</v>
      </c>
      <c r="B143" s="4" t="s">
        <v>63</v>
      </c>
      <c r="C143" s="4" t="s">
        <v>67</v>
      </c>
      <c r="D143" s="4" t="s">
        <v>71</v>
      </c>
      <c r="E143" s="6">
        <v>1231.26</v>
      </c>
      <c r="F143" s="7">
        <v>9</v>
      </c>
      <c r="G143" s="5">
        <v>0</v>
      </c>
      <c r="H143" s="8" t="s">
        <v>175</v>
      </c>
      <c r="I143" s="6">
        <v>492.5</v>
      </c>
    </row>
    <row r="144" spans="1:9" x14ac:dyDescent="0.2">
      <c r="A144" s="4" t="s">
        <v>16</v>
      </c>
      <c r="B144" s="4" t="s">
        <v>50</v>
      </c>
      <c r="C144" s="4" t="s">
        <v>66</v>
      </c>
      <c r="D144" s="4" t="s">
        <v>73</v>
      </c>
      <c r="E144" s="6">
        <v>1161.67</v>
      </c>
      <c r="F144" s="7">
        <v>19</v>
      </c>
      <c r="G144" s="5">
        <v>0.2</v>
      </c>
      <c r="H144" s="8" t="s">
        <v>176</v>
      </c>
      <c r="I144" s="6">
        <v>232.33</v>
      </c>
    </row>
    <row r="145" spans="1:9" x14ac:dyDescent="0.2">
      <c r="A145" s="4" t="s">
        <v>24</v>
      </c>
      <c r="B145" s="4" t="s">
        <v>51</v>
      </c>
      <c r="C145" s="4" t="s">
        <v>70</v>
      </c>
      <c r="D145" s="4" t="s">
        <v>75</v>
      </c>
      <c r="E145" s="6">
        <v>388.23</v>
      </c>
      <c r="F145" s="7">
        <v>16</v>
      </c>
      <c r="G145" s="5">
        <v>0.05</v>
      </c>
      <c r="H145" s="8" t="s">
        <v>177</v>
      </c>
      <c r="I145" s="6">
        <v>165.97</v>
      </c>
    </row>
    <row r="146" spans="1:9" x14ac:dyDescent="0.2">
      <c r="A146" s="4" t="s">
        <v>35</v>
      </c>
      <c r="B146" s="4" t="s">
        <v>45</v>
      </c>
      <c r="C146" s="4" t="s">
        <v>69</v>
      </c>
      <c r="D146" s="4" t="s">
        <v>72</v>
      </c>
      <c r="E146" s="6">
        <v>1589.42</v>
      </c>
      <c r="F146" s="7">
        <v>6</v>
      </c>
      <c r="G146" s="5">
        <v>0.15</v>
      </c>
      <c r="H146" s="8" t="s">
        <v>178</v>
      </c>
      <c r="I146" s="6">
        <v>675.5</v>
      </c>
    </row>
    <row r="147" spans="1:9" x14ac:dyDescent="0.2">
      <c r="A147" s="4" t="s">
        <v>15</v>
      </c>
      <c r="B147" s="4" t="s">
        <v>65</v>
      </c>
      <c r="C147" s="4" t="s">
        <v>69</v>
      </c>
      <c r="D147" s="4" t="s">
        <v>72</v>
      </c>
      <c r="E147" s="6">
        <v>336.66</v>
      </c>
      <c r="F147" s="7">
        <v>13</v>
      </c>
      <c r="G147" s="5">
        <v>0.2</v>
      </c>
      <c r="H147" s="8" t="s">
        <v>178</v>
      </c>
      <c r="I147" s="6">
        <v>134.66</v>
      </c>
    </row>
    <row r="148" spans="1:9" x14ac:dyDescent="0.2">
      <c r="A148" s="4" t="s">
        <v>24</v>
      </c>
      <c r="B148" s="4" t="s">
        <v>42</v>
      </c>
      <c r="C148" s="4" t="s">
        <v>66</v>
      </c>
      <c r="D148" s="4" t="s">
        <v>71</v>
      </c>
      <c r="E148" s="6">
        <v>1353.79</v>
      </c>
      <c r="F148" s="7">
        <v>14</v>
      </c>
      <c r="G148" s="5">
        <v>0.1</v>
      </c>
      <c r="H148" s="8" t="s">
        <v>179</v>
      </c>
      <c r="I148" s="6">
        <v>487.36</v>
      </c>
    </row>
    <row r="149" spans="1:9" x14ac:dyDescent="0.2">
      <c r="A149" s="4" t="s">
        <v>30</v>
      </c>
      <c r="B149" s="4" t="s">
        <v>64</v>
      </c>
      <c r="C149" s="4" t="s">
        <v>70</v>
      </c>
      <c r="D149" s="4" t="s">
        <v>72</v>
      </c>
      <c r="E149" s="6">
        <v>662.61</v>
      </c>
      <c r="F149" s="7">
        <v>11</v>
      </c>
      <c r="G149" s="5">
        <v>0.05</v>
      </c>
      <c r="H149" s="8" t="s">
        <v>180</v>
      </c>
      <c r="I149" s="6">
        <v>314.74</v>
      </c>
    </row>
    <row r="150" spans="1:9" x14ac:dyDescent="0.2">
      <c r="A150" s="4" t="s">
        <v>25</v>
      </c>
      <c r="B150" s="4" t="s">
        <v>53</v>
      </c>
      <c r="C150" s="4" t="s">
        <v>69</v>
      </c>
      <c r="D150" s="4" t="s">
        <v>75</v>
      </c>
      <c r="E150" s="6">
        <v>309.42</v>
      </c>
      <c r="F150" s="7">
        <v>1</v>
      </c>
      <c r="G150" s="5">
        <v>0.2</v>
      </c>
      <c r="H150" s="8" t="s">
        <v>180</v>
      </c>
      <c r="I150" s="6">
        <v>111.39</v>
      </c>
    </row>
    <row r="151" spans="1:9" x14ac:dyDescent="0.2">
      <c r="A151" s="4" t="s">
        <v>30</v>
      </c>
      <c r="B151" s="4" t="s">
        <v>44</v>
      </c>
      <c r="C151" s="4" t="s">
        <v>69</v>
      </c>
      <c r="D151" s="4" t="s">
        <v>71</v>
      </c>
      <c r="E151" s="6">
        <v>884.63</v>
      </c>
      <c r="F151" s="7">
        <v>18</v>
      </c>
      <c r="G151" s="5">
        <v>0.1</v>
      </c>
      <c r="H151" s="8" t="s">
        <v>181</v>
      </c>
      <c r="I151" s="6">
        <v>318.47000000000003</v>
      </c>
    </row>
    <row r="152" spans="1:9" x14ac:dyDescent="0.2">
      <c r="A152" s="4" t="s">
        <v>25</v>
      </c>
      <c r="B152" s="4" t="s">
        <v>42</v>
      </c>
      <c r="C152" s="4" t="s">
        <v>70</v>
      </c>
      <c r="D152" s="4" t="s">
        <v>75</v>
      </c>
      <c r="E152" s="6">
        <v>745.05</v>
      </c>
      <c r="F152" s="7">
        <v>10</v>
      </c>
      <c r="G152" s="5">
        <v>0.1</v>
      </c>
      <c r="H152" s="8" t="s">
        <v>182</v>
      </c>
      <c r="I152" s="6">
        <v>301.75</v>
      </c>
    </row>
    <row r="153" spans="1:9" x14ac:dyDescent="0.2">
      <c r="A153" s="4" t="s">
        <v>29</v>
      </c>
      <c r="B153" s="4" t="s">
        <v>41</v>
      </c>
      <c r="C153" s="4" t="s">
        <v>68</v>
      </c>
      <c r="D153" s="4" t="s">
        <v>72</v>
      </c>
      <c r="E153" s="6">
        <v>870.23</v>
      </c>
      <c r="F153" s="7">
        <v>5</v>
      </c>
      <c r="G153" s="5">
        <v>0.05</v>
      </c>
      <c r="H153" s="8" t="s">
        <v>182</v>
      </c>
      <c r="I153" s="6">
        <v>413.36</v>
      </c>
    </row>
    <row r="154" spans="1:9" x14ac:dyDescent="0.2">
      <c r="A154" s="4" t="s">
        <v>18</v>
      </c>
      <c r="B154" s="4" t="s">
        <v>44</v>
      </c>
      <c r="C154" s="4" t="s">
        <v>66</v>
      </c>
      <c r="D154" s="4" t="s">
        <v>74</v>
      </c>
      <c r="E154" s="6">
        <v>862.19</v>
      </c>
      <c r="F154" s="7">
        <v>18</v>
      </c>
      <c r="G154" s="5">
        <v>0.05</v>
      </c>
      <c r="H154" s="8" t="s">
        <v>183</v>
      </c>
      <c r="I154" s="6">
        <v>286.68</v>
      </c>
    </row>
    <row r="155" spans="1:9" x14ac:dyDescent="0.2">
      <c r="A155" s="4" t="s">
        <v>36</v>
      </c>
      <c r="B155" s="4" t="s">
        <v>59</v>
      </c>
      <c r="C155" s="4" t="s">
        <v>69</v>
      </c>
      <c r="D155" s="4" t="s">
        <v>72</v>
      </c>
      <c r="E155" s="6">
        <v>1171.18</v>
      </c>
      <c r="F155" s="7">
        <v>19</v>
      </c>
      <c r="G155" s="5">
        <v>0.05</v>
      </c>
      <c r="H155" s="8" t="s">
        <v>184</v>
      </c>
      <c r="I155" s="6">
        <v>556.30999999999995</v>
      </c>
    </row>
    <row r="156" spans="1:9" x14ac:dyDescent="0.2">
      <c r="A156" s="4" t="s">
        <v>28</v>
      </c>
      <c r="B156" s="4" t="s">
        <v>40</v>
      </c>
      <c r="C156" s="4" t="s">
        <v>68</v>
      </c>
      <c r="D156" s="4" t="s">
        <v>74</v>
      </c>
      <c r="E156" s="6">
        <v>1054.56</v>
      </c>
      <c r="F156" s="7">
        <v>11</v>
      </c>
      <c r="G156" s="5">
        <v>0.1</v>
      </c>
      <c r="H156" s="8" t="s">
        <v>185</v>
      </c>
      <c r="I156" s="6">
        <v>332.19</v>
      </c>
    </row>
    <row r="157" spans="1:9" x14ac:dyDescent="0.2">
      <c r="A157" s="4" t="s">
        <v>28</v>
      </c>
      <c r="B157" s="4" t="s">
        <v>42</v>
      </c>
      <c r="C157" s="4" t="s">
        <v>69</v>
      </c>
      <c r="D157" s="4" t="s">
        <v>73</v>
      </c>
      <c r="E157" s="6">
        <v>1681.21</v>
      </c>
      <c r="F157" s="7">
        <v>5</v>
      </c>
      <c r="G157" s="5">
        <v>0.2</v>
      </c>
      <c r="H157" s="8" t="s">
        <v>186</v>
      </c>
      <c r="I157" s="6">
        <v>336.24</v>
      </c>
    </row>
    <row r="158" spans="1:9" x14ac:dyDescent="0.2">
      <c r="A158" s="4" t="s">
        <v>28</v>
      </c>
      <c r="B158" s="4" t="s">
        <v>47</v>
      </c>
      <c r="C158" s="4" t="s">
        <v>66</v>
      </c>
      <c r="D158" s="4" t="s">
        <v>72</v>
      </c>
      <c r="E158" s="6">
        <v>379.77</v>
      </c>
      <c r="F158" s="7">
        <v>9</v>
      </c>
      <c r="G158" s="5">
        <v>0.05</v>
      </c>
      <c r="H158" s="8" t="s">
        <v>187</v>
      </c>
      <c r="I158" s="6">
        <v>180.39</v>
      </c>
    </row>
    <row r="159" spans="1:9" x14ac:dyDescent="0.2">
      <c r="A159" s="4" t="s">
        <v>22</v>
      </c>
      <c r="B159" s="4" t="s">
        <v>51</v>
      </c>
      <c r="C159" s="4" t="s">
        <v>70</v>
      </c>
      <c r="D159" s="4" t="s">
        <v>72</v>
      </c>
      <c r="E159" s="6">
        <v>1076.33</v>
      </c>
      <c r="F159" s="7">
        <v>2</v>
      </c>
      <c r="G159" s="5">
        <v>0.1</v>
      </c>
      <c r="H159" s="8" t="s">
        <v>188</v>
      </c>
      <c r="I159" s="6">
        <v>484.35</v>
      </c>
    </row>
    <row r="160" spans="1:9" x14ac:dyDescent="0.2">
      <c r="A160" s="4" t="s">
        <v>22</v>
      </c>
      <c r="B160" s="4" t="s">
        <v>45</v>
      </c>
      <c r="C160" s="4" t="s">
        <v>70</v>
      </c>
      <c r="D160" s="4" t="s">
        <v>75</v>
      </c>
      <c r="E160" s="6">
        <v>1250.71</v>
      </c>
      <c r="F160" s="7">
        <v>7</v>
      </c>
      <c r="G160" s="5">
        <v>0</v>
      </c>
      <c r="H160" s="8" t="s">
        <v>188</v>
      </c>
      <c r="I160" s="6">
        <v>562.82000000000005</v>
      </c>
    </row>
    <row r="161" spans="1:9" x14ac:dyDescent="0.2">
      <c r="A161" s="4" t="s">
        <v>20</v>
      </c>
      <c r="B161" s="4" t="s">
        <v>41</v>
      </c>
      <c r="C161" s="4" t="s">
        <v>68</v>
      </c>
      <c r="D161" s="4" t="s">
        <v>72</v>
      </c>
      <c r="E161" s="6">
        <v>1118.3399999999999</v>
      </c>
      <c r="F161" s="7">
        <v>6</v>
      </c>
      <c r="G161" s="5">
        <v>0.2</v>
      </c>
      <c r="H161" s="8" t="s">
        <v>188</v>
      </c>
      <c r="I161" s="6">
        <v>447.34</v>
      </c>
    </row>
    <row r="162" spans="1:9" x14ac:dyDescent="0.2">
      <c r="A162" s="4" t="s">
        <v>34</v>
      </c>
      <c r="B162" s="4" t="s">
        <v>56</v>
      </c>
      <c r="C162" s="4" t="s">
        <v>69</v>
      </c>
      <c r="D162" s="4" t="s">
        <v>72</v>
      </c>
      <c r="E162" s="6">
        <v>1622.62</v>
      </c>
      <c r="F162" s="7">
        <v>12</v>
      </c>
      <c r="G162" s="5">
        <v>0.2</v>
      </c>
      <c r="H162" s="8" t="s">
        <v>189</v>
      </c>
      <c r="I162" s="6">
        <v>649.04999999999995</v>
      </c>
    </row>
    <row r="163" spans="1:9" x14ac:dyDescent="0.2">
      <c r="A163" s="4" t="s">
        <v>38</v>
      </c>
      <c r="B163" s="4" t="s">
        <v>53</v>
      </c>
      <c r="C163" s="4" t="s">
        <v>69</v>
      </c>
      <c r="D163" s="4" t="s">
        <v>71</v>
      </c>
      <c r="E163" s="6">
        <v>640.64</v>
      </c>
      <c r="F163" s="7">
        <v>11</v>
      </c>
      <c r="G163" s="5">
        <v>0.2</v>
      </c>
      <c r="H163" s="8" t="s">
        <v>190</v>
      </c>
      <c r="I163" s="6">
        <v>205</v>
      </c>
    </row>
    <row r="164" spans="1:9" x14ac:dyDescent="0.2">
      <c r="A164" s="4" t="s">
        <v>13</v>
      </c>
      <c r="B164" s="4" t="s">
        <v>50</v>
      </c>
      <c r="C164" s="4" t="s">
        <v>66</v>
      </c>
      <c r="D164" s="4" t="s">
        <v>72</v>
      </c>
      <c r="E164" s="6">
        <v>585.16</v>
      </c>
      <c r="F164" s="7">
        <v>17</v>
      </c>
      <c r="G164" s="5">
        <v>0.1</v>
      </c>
      <c r="H164" s="8" t="s">
        <v>191</v>
      </c>
      <c r="I164" s="6">
        <v>263.32</v>
      </c>
    </row>
    <row r="165" spans="1:9" x14ac:dyDescent="0.2">
      <c r="A165" s="4" t="s">
        <v>13</v>
      </c>
      <c r="B165" s="4" t="s">
        <v>45</v>
      </c>
      <c r="C165" s="4" t="s">
        <v>67</v>
      </c>
      <c r="D165" s="4" t="s">
        <v>72</v>
      </c>
      <c r="E165" s="6">
        <v>1109.98</v>
      </c>
      <c r="F165" s="7">
        <v>5</v>
      </c>
      <c r="G165" s="5">
        <v>0.2</v>
      </c>
      <c r="H165" s="8" t="s">
        <v>192</v>
      </c>
      <c r="I165" s="6">
        <v>443.99</v>
      </c>
    </row>
    <row r="166" spans="1:9" x14ac:dyDescent="0.2">
      <c r="A166" s="4" t="s">
        <v>28</v>
      </c>
      <c r="B166" s="4" t="s">
        <v>51</v>
      </c>
      <c r="C166" s="4" t="s">
        <v>67</v>
      </c>
      <c r="D166" s="4" t="s">
        <v>71</v>
      </c>
      <c r="E166" s="6">
        <v>1098.08</v>
      </c>
      <c r="F166" s="7">
        <v>9</v>
      </c>
      <c r="G166" s="5">
        <v>0.1</v>
      </c>
      <c r="H166" s="8" t="s">
        <v>193</v>
      </c>
      <c r="I166" s="6">
        <v>395.31</v>
      </c>
    </row>
    <row r="167" spans="1:9" x14ac:dyDescent="0.2">
      <c r="A167" s="4" t="s">
        <v>31</v>
      </c>
      <c r="B167" s="4" t="s">
        <v>53</v>
      </c>
      <c r="C167" s="4" t="s">
        <v>66</v>
      </c>
      <c r="D167" s="4" t="s">
        <v>75</v>
      </c>
      <c r="E167" s="6">
        <v>827.25</v>
      </c>
      <c r="F167" s="7">
        <v>7</v>
      </c>
      <c r="G167" s="5">
        <v>0.1</v>
      </c>
      <c r="H167" s="8" t="s">
        <v>194</v>
      </c>
      <c r="I167" s="6">
        <v>335.04</v>
      </c>
    </row>
    <row r="168" spans="1:9" x14ac:dyDescent="0.2">
      <c r="A168" s="4" t="s">
        <v>34</v>
      </c>
      <c r="B168" s="4" t="s">
        <v>44</v>
      </c>
      <c r="C168" s="4" t="s">
        <v>70</v>
      </c>
      <c r="D168" s="4" t="s">
        <v>72</v>
      </c>
      <c r="E168" s="6">
        <v>741.88</v>
      </c>
      <c r="F168" s="7">
        <v>16</v>
      </c>
      <c r="G168" s="5">
        <v>0.1</v>
      </c>
      <c r="H168" s="8" t="s">
        <v>195</v>
      </c>
      <c r="I168" s="6">
        <v>333.85</v>
      </c>
    </row>
    <row r="169" spans="1:9" x14ac:dyDescent="0.2">
      <c r="A169" s="4" t="s">
        <v>35</v>
      </c>
      <c r="B169" s="4" t="s">
        <v>39</v>
      </c>
      <c r="C169" s="4" t="s">
        <v>67</v>
      </c>
      <c r="D169" s="4" t="s">
        <v>75</v>
      </c>
      <c r="E169" s="6">
        <v>1311.26</v>
      </c>
      <c r="F169" s="7">
        <v>6</v>
      </c>
      <c r="G169" s="5">
        <v>0.1</v>
      </c>
      <c r="H169" s="8" t="s">
        <v>196</v>
      </c>
      <c r="I169" s="6">
        <v>531.05999999999995</v>
      </c>
    </row>
    <row r="170" spans="1:9" x14ac:dyDescent="0.2">
      <c r="A170" s="4" t="s">
        <v>35</v>
      </c>
      <c r="B170" s="4" t="s">
        <v>45</v>
      </c>
      <c r="C170" s="4" t="s">
        <v>68</v>
      </c>
      <c r="D170" s="4" t="s">
        <v>75</v>
      </c>
      <c r="E170" s="6">
        <v>573.32000000000005</v>
      </c>
      <c r="F170" s="7">
        <v>19</v>
      </c>
      <c r="G170" s="5">
        <v>0.1</v>
      </c>
      <c r="H170" s="8" t="s">
        <v>197</v>
      </c>
      <c r="I170" s="6">
        <v>232.19</v>
      </c>
    </row>
    <row r="171" spans="1:9" x14ac:dyDescent="0.2">
      <c r="A171" s="4" t="s">
        <v>25</v>
      </c>
      <c r="B171" s="4" t="s">
        <v>42</v>
      </c>
      <c r="C171" s="4" t="s">
        <v>66</v>
      </c>
      <c r="D171" s="4" t="s">
        <v>73</v>
      </c>
      <c r="E171" s="6">
        <v>1115.22</v>
      </c>
      <c r="F171" s="7">
        <v>14</v>
      </c>
      <c r="G171" s="5">
        <v>0.2</v>
      </c>
      <c r="H171" s="8" t="s">
        <v>198</v>
      </c>
      <c r="I171" s="6">
        <v>223.04</v>
      </c>
    </row>
    <row r="172" spans="1:9" x14ac:dyDescent="0.2">
      <c r="A172" s="4" t="s">
        <v>10</v>
      </c>
      <c r="B172" s="4" t="s">
        <v>51</v>
      </c>
      <c r="C172" s="4" t="s">
        <v>69</v>
      </c>
      <c r="D172" s="4" t="s">
        <v>72</v>
      </c>
      <c r="E172" s="6">
        <v>845.84</v>
      </c>
      <c r="F172" s="7">
        <v>4</v>
      </c>
      <c r="G172" s="5">
        <v>0</v>
      </c>
      <c r="H172" s="8" t="s">
        <v>199</v>
      </c>
      <c r="I172" s="6">
        <v>422.92</v>
      </c>
    </row>
    <row r="173" spans="1:9" x14ac:dyDescent="0.2">
      <c r="A173" s="4" t="s">
        <v>16</v>
      </c>
      <c r="B173" s="4" t="s">
        <v>57</v>
      </c>
      <c r="C173" s="4" t="s">
        <v>66</v>
      </c>
      <c r="D173" s="4" t="s">
        <v>73</v>
      </c>
      <c r="E173" s="6">
        <v>1029.8</v>
      </c>
      <c r="F173" s="7">
        <v>3</v>
      </c>
      <c r="G173" s="5">
        <v>0</v>
      </c>
      <c r="H173" s="8" t="s">
        <v>200</v>
      </c>
      <c r="I173" s="6">
        <v>257.45</v>
      </c>
    </row>
    <row r="174" spans="1:9" x14ac:dyDescent="0.2">
      <c r="A174" s="4" t="s">
        <v>17</v>
      </c>
      <c r="B174" s="4" t="s">
        <v>45</v>
      </c>
      <c r="C174" s="4" t="s">
        <v>69</v>
      </c>
      <c r="D174" s="4" t="s">
        <v>71</v>
      </c>
      <c r="E174" s="6">
        <v>1189.83</v>
      </c>
      <c r="F174" s="7">
        <v>2</v>
      </c>
      <c r="G174" s="5">
        <v>0.2</v>
      </c>
      <c r="H174" s="8" t="s">
        <v>201</v>
      </c>
      <c r="I174" s="6">
        <v>380.75</v>
      </c>
    </row>
    <row r="175" spans="1:9" x14ac:dyDescent="0.2">
      <c r="A175" s="4" t="s">
        <v>32</v>
      </c>
      <c r="B175" s="4" t="s">
        <v>50</v>
      </c>
      <c r="C175" s="4" t="s">
        <v>68</v>
      </c>
      <c r="D175" s="4" t="s">
        <v>71</v>
      </c>
      <c r="E175" s="6">
        <v>704.28</v>
      </c>
      <c r="F175" s="7">
        <v>15</v>
      </c>
      <c r="G175" s="5">
        <v>0.2</v>
      </c>
      <c r="H175" s="8" t="s">
        <v>202</v>
      </c>
      <c r="I175" s="6">
        <v>225.37</v>
      </c>
    </row>
    <row r="176" spans="1:9" x14ac:dyDescent="0.2">
      <c r="A176" s="4" t="s">
        <v>31</v>
      </c>
      <c r="B176" s="4" t="s">
        <v>52</v>
      </c>
      <c r="C176" s="4" t="s">
        <v>70</v>
      </c>
      <c r="D176" s="4" t="s">
        <v>75</v>
      </c>
      <c r="E176" s="6">
        <v>1618.22</v>
      </c>
      <c r="F176" s="7">
        <v>12</v>
      </c>
      <c r="G176" s="5">
        <v>0.2</v>
      </c>
      <c r="H176" s="8" t="s">
        <v>202</v>
      </c>
      <c r="I176" s="6">
        <v>582.55999999999995</v>
      </c>
    </row>
    <row r="177" spans="1:9" x14ac:dyDescent="0.2">
      <c r="A177" s="4" t="s">
        <v>36</v>
      </c>
      <c r="B177" s="4" t="s">
        <v>56</v>
      </c>
      <c r="C177" s="4" t="s">
        <v>70</v>
      </c>
      <c r="D177" s="4" t="s">
        <v>71</v>
      </c>
      <c r="E177" s="6">
        <v>1014.43</v>
      </c>
      <c r="F177" s="7">
        <v>2</v>
      </c>
      <c r="G177" s="5">
        <v>0.15</v>
      </c>
      <c r="H177" s="8" t="s">
        <v>203</v>
      </c>
      <c r="I177" s="6">
        <v>344.91</v>
      </c>
    </row>
    <row r="178" spans="1:9" x14ac:dyDescent="0.2">
      <c r="A178" s="4" t="s">
        <v>38</v>
      </c>
      <c r="B178" s="4" t="s">
        <v>45</v>
      </c>
      <c r="C178" s="4" t="s">
        <v>70</v>
      </c>
      <c r="D178" s="4" t="s">
        <v>72</v>
      </c>
      <c r="E178" s="6">
        <v>826.97</v>
      </c>
      <c r="F178" s="7">
        <v>18</v>
      </c>
      <c r="G178" s="5">
        <v>0.2</v>
      </c>
      <c r="H178" s="8" t="s">
        <v>204</v>
      </c>
      <c r="I178" s="6">
        <v>330.79</v>
      </c>
    </row>
    <row r="179" spans="1:9" x14ac:dyDescent="0.2">
      <c r="A179" s="4" t="s">
        <v>11</v>
      </c>
      <c r="B179" s="4" t="s">
        <v>45</v>
      </c>
      <c r="C179" s="4" t="s">
        <v>70</v>
      </c>
      <c r="D179" s="4" t="s">
        <v>72</v>
      </c>
      <c r="E179" s="6">
        <v>1022.23</v>
      </c>
      <c r="F179" s="7">
        <v>8</v>
      </c>
      <c r="G179" s="5">
        <v>0.1</v>
      </c>
      <c r="H179" s="8" t="s">
        <v>205</v>
      </c>
      <c r="I179" s="6">
        <v>460</v>
      </c>
    </row>
    <row r="180" spans="1:9" x14ac:dyDescent="0.2">
      <c r="A180" s="4" t="s">
        <v>35</v>
      </c>
      <c r="B180" s="4" t="s">
        <v>44</v>
      </c>
      <c r="C180" s="4" t="s">
        <v>67</v>
      </c>
      <c r="D180" s="4" t="s">
        <v>71</v>
      </c>
      <c r="E180" s="6">
        <v>1099.69</v>
      </c>
      <c r="F180" s="7">
        <v>6</v>
      </c>
      <c r="G180" s="5">
        <v>0</v>
      </c>
      <c r="H180" s="8" t="s">
        <v>206</v>
      </c>
      <c r="I180" s="6">
        <v>439.88</v>
      </c>
    </row>
    <row r="181" spans="1:9" x14ac:dyDescent="0.2">
      <c r="A181" s="4" t="s">
        <v>25</v>
      </c>
      <c r="B181" s="4" t="s">
        <v>62</v>
      </c>
      <c r="C181" s="4" t="s">
        <v>69</v>
      </c>
      <c r="D181" s="4" t="s">
        <v>71</v>
      </c>
      <c r="E181" s="6">
        <v>710.52</v>
      </c>
      <c r="F181" s="7">
        <v>8</v>
      </c>
      <c r="G181" s="5">
        <v>0.1</v>
      </c>
      <c r="H181" s="8" t="s">
        <v>207</v>
      </c>
      <c r="I181" s="6">
        <v>255.79</v>
      </c>
    </row>
    <row r="182" spans="1:9" x14ac:dyDescent="0.2">
      <c r="A182" s="4" t="s">
        <v>25</v>
      </c>
      <c r="B182" s="4" t="s">
        <v>59</v>
      </c>
      <c r="C182" s="4" t="s">
        <v>69</v>
      </c>
      <c r="D182" s="4" t="s">
        <v>71</v>
      </c>
      <c r="E182" s="6">
        <v>499.18</v>
      </c>
      <c r="F182" s="7">
        <v>15</v>
      </c>
      <c r="G182" s="5">
        <v>0.2</v>
      </c>
      <c r="H182" s="8" t="s">
        <v>208</v>
      </c>
      <c r="I182" s="6">
        <v>159.74</v>
      </c>
    </row>
    <row r="183" spans="1:9" x14ac:dyDescent="0.2">
      <c r="A183" s="4" t="s">
        <v>19</v>
      </c>
      <c r="B183" s="4" t="s">
        <v>48</v>
      </c>
      <c r="C183" s="4" t="s">
        <v>68</v>
      </c>
      <c r="D183" s="4" t="s">
        <v>71</v>
      </c>
      <c r="E183" s="6">
        <v>1064.19</v>
      </c>
      <c r="F183" s="7">
        <v>18</v>
      </c>
      <c r="G183" s="5">
        <v>0.05</v>
      </c>
      <c r="H183" s="8" t="s">
        <v>209</v>
      </c>
      <c r="I183" s="6">
        <v>404.39</v>
      </c>
    </row>
    <row r="184" spans="1:9" x14ac:dyDescent="0.2">
      <c r="A184" s="4" t="s">
        <v>32</v>
      </c>
      <c r="B184" s="4" t="s">
        <v>48</v>
      </c>
      <c r="C184" s="4" t="s">
        <v>67</v>
      </c>
      <c r="D184" s="4" t="s">
        <v>75</v>
      </c>
      <c r="E184" s="6">
        <v>438.76</v>
      </c>
      <c r="F184" s="7">
        <v>18</v>
      </c>
      <c r="G184" s="5">
        <v>0.05</v>
      </c>
      <c r="H184" s="8" t="s">
        <v>210</v>
      </c>
      <c r="I184" s="6">
        <v>187.57</v>
      </c>
    </row>
    <row r="185" spans="1:9" x14ac:dyDescent="0.2">
      <c r="A185" s="4" t="s">
        <v>21</v>
      </c>
      <c r="B185" s="4" t="s">
        <v>57</v>
      </c>
      <c r="C185" s="4" t="s">
        <v>66</v>
      </c>
      <c r="D185" s="4" t="s">
        <v>72</v>
      </c>
      <c r="E185" s="6">
        <v>864.98</v>
      </c>
      <c r="F185" s="7">
        <v>2</v>
      </c>
      <c r="G185" s="5">
        <v>0.05</v>
      </c>
      <c r="H185" s="8" t="s">
        <v>211</v>
      </c>
      <c r="I185" s="6">
        <v>410.87</v>
      </c>
    </row>
    <row r="186" spans="1:9" x14ac:dyDescent="0.2">
      <c r="A186" s="4" t="s">
        <v>27</v>
      </c>
      <c r="B186" s="4" t="s">
        <v>57</v>
      </c>
      <c r="C186" s="4" t="s">
        <v>66</v>
      </c>
      <c r="D186" s="4" t="s">
        <v>74</v>
      </c>
      <c r="E186" s="6">
        <v>984.93</v>
      </c>
      <c r="F186" s="7">
        <v>14</v>
      </c>
      <c r="G186" s="5">
        <v>0.2</v>
      </c>
      <c r="H186" s="8" t="s">
        <v>212</v>
      </c>
      <c r="I186" s="6">
        <v>275.77999999999997</v>
      </c>
    </row>
    <row r="187" spans="1:9" x14ac:dyDescent="0.2">
      <c r="A187" s="4" t="s">
        <v>14</v>
      </c>
      <c r="B187" s="4" t="s">
        <v>57</v>
      </c>
      <c r="C187" s="4" t="s">
        <v>66</v>
      </c>
      <c r="D187" s="4" t="s">
        <v>72</v>
      </c>
      <c r="E187" s="6">
        <v>1493.49</v>
      </c>
      <c r="F187" s="7">
        <v>18</v>
      </c>
      <c r="G187" s="5">
        <v>0</v>
      </c>
      <c r="H187" s="8" t="s">
        <v>213</v>
      </c>
      <c r="I187" s="6">
        <v>746.74</v>
      </c>
    </row>
    <row r="188" spans="1:9" x14ac:dyDescent="0.2">
      <c r="A188" s="4" t="s">
        <v>17</v>
      </c>
      <c r="B188" s="4" t="s">
        <v>56</v>
      </c>
      <c r="C188" s="4" t="s">
        <v>68</v>
      </c>
      <c r="D188" s="4" t="s">
        <v>72</v>
      </c>
      <c r="E188" s="6">
        <v>689.43</v>
      </c>
      <c r="F188" s="7">
        <v>9</v>
      </c>
      <c r="G188" s="5">
        <v>0.1</v>
      </c>
      <c r="H188" s="8" t="s">
        <v>214</v>
      </c>
      <c r="I188" s="6">
        <v>310.24</v>
      </c>
    </row>
    <row r="189" spans="1:9" x14ac:dyDescent="0.2">
      <c r="A189" s="4" t="s">
        <v>20</v>
      </c>
      <c r="B189" s="4" t="s">
        <v>59</v>
      </c>
      <c r="C189" s="4" t="s">
        <v>68</v>
      </c>
      <c r="D189" s="4" t="s">
        <v>72</v>
      </c>
      <c r="E189" s="6">
        <v>682.24</v>
      </c>
      <c r="F189" s="7">
        <v>1</v>
      </c>
      <c r="G189" s="5">
        <v>0</v>
      </c>
      <c r="H189" s="8" t="s">
        <v>215</v>
      </c>
      <c r="I189" s="6">
        <v>341.12</v>
      </c>
    </row>
    <row r="190" spans="1:9" x14ac:dyDescent="0.2">
      <c r="A190" s="4" t="s">
        <v>21</v>
      </c>
      <c r="B190" s="4" t="s">
        <v>43</v>
      </c>
      <c r="C190" s="4" t="s">
        <v>69</v>
      </c>
      <c r="D190" s="4" t="s">
        <v>73</v>
      </c>
      <c r="E190" s="6">
        <v>458.54</v>
      </c>
      <c r="F190" s="7">
        <v>15</v>
      </c>
      <c r="G190" s="5">
        <v>0.2</v>
      </c>
      <c r="H190" s="8" t="s">
        <v>216</v>
      </c>
      <c r="I190" s="6">
        <v>91.71</v>
      </c>
    </row>
    <row r="191" spans="1:9" x14ac:dyDescent="0.2">
      <c r="A191" s="4" t="s">
        <v>17</v>
      </c>
      <c r="B191" s="4" t="s">
        <v>43</v>
      </c>
      <c r="C191" s="4" t="s">
        <v>68</v>
      </c>
      <c r="D191" s="4" t="s">
        <v>74</v>
      </c>
      <c r="E191" s="6">
        <v>1184.25</v>
      </c>
      <c r="F191" s="7">
        <v>11</v>
      </c>
      <c r="G191" s="5">
        <v>0.2</v>
      </c>
      <c r="H191" s="8" t="s">
        <v>217</v>
      </c>
      <c r="I191" s="6">
        <v>331.59</v>
      </c>
    </row>
    <row r="192" spans="1:9" x14ac:dyDescent="0.2">
      <c r="A192" s="4" t="s">
        <v>14</v>
      </c>
      <c r="B192" s="4" t="s">
        <v>39</v>
      </c>
      <c r="C192" s="4" t="s">
        <v>68</v>
      </c>
      <c r="D192" s="4" t="s">
        <v>72</v>
      </c>
      <c r="E192" s="6">
        <v>762.14</v>
      </c>
      <c r="F192" s="7">
        <v>9</v>
      </c>
      <c r="G192" s="5">
        <v>0</v>
      </c>
      <c r="H192" s="8" t="s">
        <v>218</v>
      </c>
      <c r="I192" s="6">
        <v>381.07</v>
      </c>
    </row>
    <row r="193" spans="1:9" x14ac:dyDescent="0.2">
      <c r="A193" s="4" t="s">
        <v>13</v>
      </c>
      <c r="B193" s="4" t="s">
        <v>56</v>
      </c>
      <c r="C193" s="4" t="s">
        <v>69</v>
      </c>
      <c r="D193" s="4" t="s">
        <v>71</v>
      </c>
      <c r="E193" s="6">
        <v>750.71</v>
      </c>
      <c r="F193" s="7">
        <v>10</v>
      </c>
      <c r="G193" s="5">
        <v>0.15</v>
      </c>
      <c r="H193" s="8" t="s">
        <v>218</v>
      </c>
      <c r="I193" s="6">
        <v>255.24</v>
      </c>
    </row>
    <row r="194" spans="1:9" x14ac:dyDescent="0.2">
      <c r="A194" s="4" t="s">
        <v>38</v>
      </c>
      <c r="B194" s="4" t="s">
        <v>65</v>
      </c>
      <c r="C194" s="4" t="s">
        <v>70</v>
      </c>
      <c r="D194" s="4" t="s">
        <v>72</v>
      </c>
      <c r="E194" s="6">
        <v>1456.94</v>
      </c>
      <c r="F194" s="7">
        <v>14</v>
      </c>
      <c r="G194" s="5">
        <v>0.05</v>
      </c>
      <c r="H194" s="8" t="s">
        <v>219</v>
      </c>
      <c r="I194" s="6">
        <v>692.05</v>
      </c>
    </row>
    <row r="195" spans="1:9" x14ac:dyDescent="0.2">
      <c r="A195" s="4" t="s">
        <v>22</v>
      </c>
      <c r="B195" s="4" t="s">
        <v>60</v>
      </c>
      <c r="C195" s="4" t="s">
        <v>67</v>
      </c>
      <c r="D195" s="4" t="s">
        <v>74</v>
      </c>
      <c r="E195" s="6">
        <v>1093.3800000000001</v>
      </c>
      <c r="F195" s="7">
        <v>17</v>
      </c>
      <c r="G195" s="5">
        <v>0.1</v>
      </c>
      <c r="H195" s="8" t="s">
        <v>219</v>
      </c>
      <c r="I195" s="6">
        <v>344.41</v>
      </c>
    </row>
    <row r="196" spans="1:9" x14ac:dyDescent="0.2">
      <c r="A196" s="4" t="s">
        <v>19</v>
      </c>
      <c r="B196" s="4" t="s">
        <v>50</v>
      </c>
      <c r="C196" s="4" t="s">
        <v>66</v>
      </c>
      <c r="D196" s="4" t="s">
        <v>72</v>
      </c>
      <c r="E196" s="6">
        <v>934.27</v>
      </c>
      <c r="F196" s="7">
        <v>8</v>
      </c>
      <c r="G196" s="5">
        <v>0.15</v>
      </c>
      <c r="H196" s="8" t="s">
        <v>220</v>
      </c>
      <c r="I196" s="6">
        <v>397.06</v>
      </c>
    </row>
    <row r="197" spans="1:9" x14ac:dyDescent="0.2">
      <c r="A197" s="4" t="s">
        <v>34</v>
      </c>
      <c r="B197" s="4" t="s">
        <v>47</v>
      </c>
      <c r="C197" s="4" t="s">
        <v>70</v>
      </c>
      <c r="D197" s="4" t="s">
        <v>72</v>
      </c>
      <c r="E197" s="6">
        <v>1465.35</v>
      </c>
      <c r="F197" s="7">
        <v>8</v>
      </c>
      <c r="G197" s="5">
        <v>0.2</v>
      </c>
      <c r="H197" s="8" t="s">
        <v>220</v>
      </c>
      <c r="I197" s="6">
        <v>586.14</v>
      </c>
    </row>
    <row r="198" spans="1:9" x14ac:dyDescent="0.2">
      <c r="A198" s="4" t="s">
        <v>25</v>
      </c>
      <c r="B198" s="4" t="s">
        <v>40</v>
      </c>
      <c r="C198" s="4" t="s">
        <v>68</v>
      </c>
      <c r="D198" s="4" t="s">
        <v>75</v>
      </c>
      <c r="E198" s="6">
        <v>740.8</v>
      </c>
      <c r="F198" s="7">
        <v>3</v>
      </c>
      <c r="G198" s="5">
        <v>0</v>
      </c>
      <c r="H198" s="8" t="s">
        <v>221</v>
      </c>
      <c r="I198" s="6">
        <v>333.36</v>
      </c>
    </row>
    <row r="199" spans="1:9" x14ac:dyDescent="0.2">
      <c r="A199" s="4" t="s">
        <v>28</v>
      </c>
      <c r="B199" s="4" t="s">
        <v>50</v>
      </c>
      <c r="C199" s="4" t="s">
        <v>66</v>
      </c>
      <c r="D199" s="4" t="s">
        <v>75</v>
      </c>
      <c r="E199" s="6">
        <v>545.44000000000005</v>
      </c>
      <c r="F199" s="7">
        <v>17</v>
      </c>
      <c r="G199" s="5">
        <v>0</v>
      </c>
      <c r="H199" s="8" t="s">
        <v>222</v>
      </c>
      <c r="I199" s="6">
        <v>245.45</v>
      </c>
    </row>
    <row r="200" spans="1:9" x14ac:dyDescent="0.2">
      <c r="A200" s="4" t="s">
        <v>18</v>
      </c>
      <c r="B200" s="4" t="s">
        <v>47</v>
      </c>
      <c r="C200" s="4" t="s">
        <v>67</v>
      </c>
      <c r="D200" s="4" t="s">
        <v>71</v>
      </c>
      <c r="E200" s="6">
        <v>997.61</v>
      </c>
      <c r="F200" s="7">
        <v>8</v>
      </c>
      <c r="G200" s="5">
        <v>0.05</v>
      </c>
      <c r="H200" s="8" t="s">
        <v>222</v>
      </c>
      <c r="I200" s="6">
        <v>379.09</v>
      </c>
    </row>
    <row r="201" spans="1:9" x14ac:dyDescent="0.2">
      <c r="A201" s="4" t="s">
        <v>29</v>
      </c>
      <c r="B201" s="4" t="s">
        <v>47</v>
      </c>
      <c r="C201" s="4" t="s">
        <v>68</v>
      </c>
      <c r="D201" s="4" t="s">
        <v>72</v>
      </c>
      <c r="E201" s="6">
        <v>928.32</v>
      </c>
      <c r="F201" s="7">
        <v>2</v>
      </c>
      <c r="G201" s="5">
        <v>0.05</v>
      </c>
      <c r="H201" s="8" t="s">
        <v>223</v>
      </c>
      <c r="I201" s="6">
        <v>440.95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B8" sqref="B8"/>
    </sheetView>
  </sheetViews>
  <sheetFormatPr baseColWidth="10" defaultColWidth="8.83203125" defaultRowHeight="19" x14ac:dyDescent="0.2"/>
  <cols>
    <col min="1" max="1" width="13.5" style="4" customWidth="1"/>
    <col min="2" max="2" width="15.1640625" style="15" customWidth="1"/>
    <col min="3" max="16384" width="8.83203125" style="4"/>
  </cols>
  <sheetData>
    <row r="1" spans="1:2" x14ac:dyDescent="0.2">
      <c r="A1" s="9" t="s">
        <v>0</v>
      </c>
      <c r="B1" s="10" t="s">
        <v>224</v>
      </c>
    </row>
    <row r="2" spans="1:2" x14ac:dyDescent="0.2">
      <c r="A2" s="11" t="s">
        <v>28</v>
      </c>
      <c r="B2" s="16">
        <v>11611.06</v>
      </c>
    </row>
    <row r="3" spans="1:2" x14ac:dyDescent="0.2">
      <c r="A3" s="11" t="s">
        <v>25</v>
      </c>
      <c r="B3" s="16">
        <v>10293.870000000001</v>
      </c>
    </row>
    <row r="4" spans="1:2" x14ac:dyDescent="0.2">
      <c r="A4" s="11" t="s">
        <v>14</v>
      </c>
      <c r="B4" s="16">
        <v>9941.8799999999992</v>
      </c>
    </row>
    <row r="5" spans="1:2" x14ac:dyDescent="0.2">
      <c r="A5" s="11" t="s">
        <v>22</v>
      </c>
      <c r="B5" s="16">
        <v>9760.8000000000011</v>
      </c>
    </row>
    <row r="6" spans="1:2" x14ac:dyDescent="0.2">
      <c r="A6" s="11" t="s">
        <v>16</v>
      </c>
      <c r="B6" s="16">
        <v>9371.81</v>
      </c>
    </row>
    <row r="7" spans="1:2" x14ac:dyDescent="0.2">
      <c r="A7" s="11" t="s">
        <v>27</v>
      </c>
      <c r="B7" s="16">
        <v>8740.18</v>
      </c>
    </row>
    <row r="8" spans="1:2" x14ac:dyDescent="0.2">
      <c r="A8" s="11" t="s">
        <v>32</v>
      </c>
      <c r="B8" s="16">
        <v>8490.18</v>
      </c>
    </row>
    <row r="9" spans="1:2" x14ac:dyDescent="0.2">
      <c r="A9" s="11" t="s">
        <v>10</v>
      </c>
      <c r="B9" s="16">
        <v>8339</v>
      </c>
    </row>
    <row r="10" spans="1:2" x14ac:dyDescent="0.2">
      <c r="A10" s="11" t="s">
        <v>13</v>
      </c>
      <c r="B10" s="16">
        <v>7928.71</v>
      </c>
    </row>
    <row r="11" spans="1:2" x14ac:dyDescent="0.2">
      <c r="A11" s="11" t="s">
        <v>35</v>
      </c>
      <c r="B11" s="16">
        <v>7813.59</v>
      </c>
    </row>
    <row r="12" spans="1:2" x14ac:dyDescent="0.2">
      <c r="A12" s="11" t="s">
        <v>34</v>
      </c>
      <c r="B12" s="16">
        <v>7583.1299999999992</v>
      </c>
    </row>
    <row r="13" spans="1:2" x14ac:dyDescent="0.2">
      <c r="A13" s="11" t="s">
        <v>19</v>
      </c>
      <c r="B13" s="16">
        <v>6729.89</v>
      </c>
    </row>
    <row r="14" spans="1:2" x14ac:dyDescent="0.2">
      <c r="A14" s="11" t="s">
        <v>26</v>
      </c>
      <c r="B14" s="16">
        <v>6716.52</v>
      </c>
    </row>
    <row r="15" spans="1:2" x14ac:dyDescent="0.2">
      <c r="A15" s="11" t="s">
        <v>12</v>
      </c>
      <c r="B15" s="16">
        <v>6666.13</v>
      </c>
    </row>
    <row r="16" spans="1:2" x14ac:dyDescent="0.2">
      <c r="A16" s="11" t="s">
        <v>15</v>
      </c>
      <c r="B16" s="16">
        <v>6549.55</v>
      </c>
    </row>
    <row r="17" spans="1:2" x14ac:dyDescent="0.2">
      <c r="A17" s="11" t="s">
        <v>17</v>
      </c>
      <c r="B17" s="16">
        <v>6505.2</v>
      </c>
    </row>
    <row r="18" spans="1:2" x14ac:dyDescent="0.2">
      <c r="A18" s="11" t="s">
        <v>31</v>
      </c>
      <c r="B18" s="16">
        <v>6481.43</v>
      </c>
    </row>
    <row r="19" spans="1:2" x14ac:dyDescent="0.2">
      <c r="A19" s="11" t="s">
        <v>20</v>
      </c>
      <c r="B19" s="16">
        <v>5913.68</v>
      </c>
    </row>
    <row r="20" spans="1:2" x14ac:dyDescent="0.2">
      <c r="A20" s="11" t="s">
        <v>21</v>
      </c>
      <c r="B20" s="16">
        <v>5779.05</v>
      </c>
    </row>
    <row r="21" spans="1:2" x14ac:dyDescent="0.2">
      <c r="A21" s="11" t="s">
        <v>38</v>
      </c>
      <c r="B21" s="16">
        <v>4951.8899999999994</v>
      </c>
    </row>
    <row r="22" spans="1:2" x14ac:dyDescent="0.2">
      <c r="A22" s="11" t="s">
        <v>9</v>
      </c>
      <c r="B22" s="16">
        <v>4640.1099999999997</v>
      </c>
    </row>
    <row r="23" spans="1:2" x14ac:dyDescent="0.2">
      <c r="A23" s="11" t="s">
        <v>24</v>
      </c>
      <c r="B23" s="16">
        <v>4418.28</v>
      </c>
    </row>
    <row r="24" spans="1:2" x14ac:dyDescent="0.2">
      <c r="A24" s="11" t="s">
        <v>33</v>
      </c>
      <c r="B24" s="16">
        <v>4413.71</v>
      </c>
    </row>
    <row r="25" spans="1:2" x14ac:dyDescent="0.2">
      <c r="A25" s="11" t="s">
        <v>18</v>
      </c>
      <c r="B25" s="16">
        <v>4259.22</v>
      </c>
    </row>
    <row r="26" spans="1:2" x14ac:dyDescent="0.2">
      <c r="A26" s="11" t="s">
        <v>36</v>
      </c>
      <c r="B26" s="16">
        <v>4162.4399999999996</v>
      </c>
    </row>
    <row r="27" spans="1:2" x14ac:dyDescent="0.2">
      <c r="A27" s="11" t="s">
        <v>37</v>
      </c>
      <c r="B27" s="16">
        <v>3906.04</v>
      </c>
    </row>
    <row r="28" spans="1:2" x14ac:dyDescent="0.2">
      <c r="A28" s="11" t="s">
        <v>30</v>
      </c>
      <c r="B28" s="16">
        <v>3762.29</v>
      </c>
    </row>
    <row r="29" spans="1:2" x14ac:dyDescent="0.2">
      <c r="A29" s="11" t="s">
        <v>11</v>
      </c>
      <c r="B29" s="16">
        <v>3419.2</v>
      </c>
    </row>
    <row r="30" spans="1:2" x14ac:dyDescent="0.2">
      <c r="A30" s="11" t="s">
        <v>29</v>
      </c>
      <c r="B30" s="16">
        <v>3369.17</v>
      </c>
    </row>
    <row r="31" spans="1:2" x14ac:dyDescent="0.2">
      <c r="A31" s="13" t="s">
        <v>23</v>
      </c>
      <c r="B31" s="17">
        <v>2699.75</v>
      </c>
    </row>
  </sheetData>
  <conditionalFormatting sqref="B2:B32">
    <cfRule type="top10" dxfId="115" priority="1" rank="10"/>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
  <sheetViews>
    <sheetView zoomScale="81" workbookViewId="0"/>
  </sheetViews>
  <sheetFormatPr baseColWidth="10" defaultColWidth="8.83203125" defaultRowHeight="19" x14ac:dyDescent="0.2"/>
  <cols>
    <col min="1" max="1" width="12.33203125" style="5" customWidth="1"/>
    <col min="2" max="2" width="18.83203125" style="15" customWidth="1"/>
    <col min="3" max="3" width="19.1640625" style="15" customWidth="1"/>
    <col min="4" max="16384" width="8.83203125" style="4"/>
  </cols>
  <sheetData>
    <row r="1" spans="1:3" x14ac:dyDescent="0.2">
      <c r="A1" s="9" t="s">
        <v>6</v>
      </c>
      <c r="B1" s="19" t="s">
        <v>225</v>
      </c>
      <c r="C1" s="10" t="s">
        <v>226</v>
      </c>
    </row>
    <row r="2" spans="1:3" x14ac:dyDescent="0.2">
      <c r="A2" s="18">
        <v>0</v>
      </c>
      <c r="B2" s="6">
        <v>195217.76</v>
      </c>
      <c r="C2" s="16">
        <v>68287.010000000009</v>
      </c>
    </row>
    <row r="3" spans="1:3" x14ac:dyDescent="0.2">
      <c r="A3" s="18">
        <v>0.01</v>
      </c>
      <c r="B3" s="6">
        <v>193265.58240000001</v>
      </c>
      <c r="C3" s="16">
        <v>67604.139900000009</v>
      </c>
    </row>
    <row r="4" spans="1:3" x14ac:dyDescent="0.2">
      <c r="A4" s="18">
        <v>0.02</v>
      </c>
      <c r="B4" s="6">
        <v>191313.40479999999</v>
      </c>
      <c r="C4" s="16">
        <v>66921.269800000009</v>
      </c>
    </row>
    <row r="5" spans="1:3" x14ac:dyDescent="0.2">
      <c r="A5" s="18">
        <v>0.03</v>
      </c>
      <c r="B5" s="6">
        <v>189361.22719999999</v>
      </c>
      <c r="C5" s="16">
        <v>66238.399699999994</v>
      </c>
    </row>
    <row r="6" spans="1:3" x14ac:dyDescent="0.2">
      <c r="A6" s="18">
        <v>0.04</v>
      </c>
      <c r="B6" s="6">
        <v>187409.0496</v>
      </c>
      <c r="C6" s="16">
        <v>65555.529600000009</v>
      </c>
    </row>
    <row r="7" spans="1:3" x14ac:dyDescent="0.2">
      <c r="A7" s="18">
        <v>0.05</v>
      </c>
      <c r="B7" s="6">
        <v>185456.872</v>
      </c>
      <c r="C7" s="16">
        <v>64872.659500000002</v>
      </c>
    </row>
    <row r="8" spans="1:3" x14ac:dyDescent="0.2">
      <c r="A8" s="18">
        <v>0.06</v>
      </c>
      <c r="B8" s="6">
        <v>183504.69440000001</v>
      </c>
      <c r="C8" s="16">
        <v>64189.789400000009</v>
      </c>
    </row>
    <row r="9" spans="1:3" x14ac:dyDescent="0.2">
      <c r="A9" s="18">
        <v>7.0000000000000007E-2</v>
      </c>
      <c r="B9" s="6">
        <v>181552.51680000001</v>
      </c>
      <c r="C9" s="16">
        <v>63506.919299999987</v>
      </c>
    </row>
    <row r="10" spans="1:3" x14ac:dyDescent="0.2">
      <c r="A10" s="18">
        <v>0.08</v>
      </c>
      <c r="B10" s="6">
        <v>179600.33919999999</v>
      </c>
      <c r="C10" s="16">
        <v>62824.049200000009</v>
      </c>
    </row>
    <row r="11" spans="1:3" x14ac:dyDescent="0.2">
      <c r="A11" s="18">
        <v>0.09</v>
      </c>
      <c r="B11" s="6">
        <v>177648.16159999999</v>
      </c>
      <c r="C11" s="16">
        <v>62141.179100000008</v>
      </c>
    </row>
    <row r="12" spans="1:3" x14ac:dyDescent="0.2">
      <c r="A12" s="18">
        <v>0.1</v>
      </c>
      <c r="B12" s="6">
        <v>175695.984</v>
      </c>
      <c r="C12" s="16">
        <v>61458.309000000023</v>
      </c>
    </row>
    <row r="13" spans="1:3" x14ac:dyDescent="0.2">
      <c r="A13" s="18">
        <v>0.11</v>
      </c>
      <c r="B13" s="6">
        <v>173743.8064</v>
      </c>
      <c r="C13" s="16">
        <v>60775.438900000001</v>
      </c>
    </row>
    <row r="14" spans="1:3" x14ac:dyDescent="0.2">
      <c r="A14" s="18">
        <v>0.12</v>
      </c>
      <c r="B14" s="6">
        <v>171791.62880000001</v>
      </c>
      <c r="C14" s="16">
        <v>60092.568800000008</v>
      </c>
    </row>
    <row r="15" spans="1:3" x14ac:dyDescent="0.2">
      <c r="A15" s="18">
        <v>0.13</v>
      </c>
      <c r="B15" s="6">
        <v>169839.45120000001</v>
      </c>
      <c r="C15" s="16">
        <v>59409.698700000008</v>
      </c>
    </row>
    <row r="16" spans="1:3" x14ac:dyDescent="0.2">
      <c r="A16" s="18">
        <v>0.14000000000000001</v>
      </c>
      <c r="B16" s="6">
        <v>167887.27359999999</v>
      </c>
      <c r="C16" s="16">
        <v>58726.828600000008</v>
      </c>
    </row>
    <row r="17" spans="1:3" x14ac:dyDescent="0.2">
      <c r="A17" s="18">
        <v>0.15</v>
      </c>
      <c r="B17" s="6">
        <v>165935.09599999999</v>
      </c>
      <c r="C17" s="16">
        <v>58043.958500000001</v>
      </c>
    </row>
    <row r="18" spans="1:3" x14ac:dyDescent="0.2">
      <c r="A18" s="18">
        <v>0.16</v>
      </c>
      <c r="B18" s="6">
        <v>163982.9184</v>
      </c>
      <c r="C18" s="16">
        <v>57361.088400000001</v>
      </c>
    </row>
    <row r="19" spans="1:3" x14ac:dyDescent="0.2">
      <c r="A19" s="18">
        <v>0.17</v>
      </c>
      <c r="B19" s="6">
        <v>162030.7408</v>
      </c>
      <c r="C19" s="16">
        <v>56678.2183</v>
      </c>
    </row>
    <row r="20" spans="1:3" x14ac:dyDescent="0.2">
      <c r="A20" s="18">
        <v>0.18</v>
      </c>
      <c r="B20" s="6">
        <v>160078.5632</v>
      </c>
      <c r="C20" s="16">
        <v>55995.348200000008</v>
      </c>
    </row>
    <row r="21" spans="1:3" x14ac:dyDescent="0.2">
      <c r="A21" s="18">
        <v>0.19</v>
      </c>
      <c r="B21" s="6">
        <v>158126.38560000001</v>
      </c>
      <c r="C21" s="16">
        <v>55312.478100000008</v>
      </c>
    </row>
    <row r="22" spans="1:3" x14ac:dyDescent="0.2">
      <c r="A22" s="18">
        <v>0.2</v>
      </c>
      <c r="B22" s="6">
        <v>156174.20800000001</v>
      </c>
      <c r="C22" s="16">
        <v>54629.608000000007</v>
      </c>
    </row>
    <row r="23" spans="1:3" x14ac:dyDescent="0.2">
      <c r="A23" s="18">
        <v>0.21</v>
      </c>
      <c r="B23" s="6">
        <v>154222.03039999999</v>
      </c>
      <c r="C23" s="16">
        <v>53946.737900000007</v>
      </c>
    </row>
    <row r="24" spans="1:3" x14ac:dyDescent="0.2">
      <c r="A24" s="18">
        <v>0.22</v>
      </c>
      <c r="B24" s="6">
        <v>152269.85279999999</v>
      </c>
      <c r="C24" s="16">
        <v>53263.867800000007</v>
      </c>
    </row>
    <row r="25" spans="1:3" x14ac:dyDescent="0.2">
      <c r="A25" s="18">
        <v>0.23</v>
      </c>
      <c r="B25" s="6">
        <v>150317.6752</v>
      </c>
      <c r="C25" s="16">
        <v>52580.9977</v>
      </c>
    </row>
    <row r="26" spans="1:3" x14ac:dyDescent="0.2">
      <c r="A26" s="18">
        <v>0.24</v>
      </c>
      <c r="B26" s="6">
        <v>148365.4976</v>
      </c>
      <c r="C26" s="16">
        <v>51898.127600000007</v>
      </c>
    </row>
    <row r="27" spans="1:3" x14ac:dyDescent="0.2">
      <c r="A27" s="18">
        <v>0.25</v>
      </c>
      <c r="B27" s="6">
        <v>146413.32</v>
      </c>
      <c r="C27" s="16">
        <v>51215.257500000007</v>
      </c>
    </row>
    <row r="28" spans="1:3" x14ac:dyDescent="0.2">
      <c r="A28" s="18">
        <v>0.26</v>
      </c>
      <c r="B28" s="6">
        <v>144461.14240000001</v>
      </c>
      <c r="C28" s="16">
        <v>50532.387400000007</v>
      </c>
    </row>
    <row r="29" spans="1:3" x14ac:dyDescent="0.2">
      <c r="A29" s="18">
        <v>0.27</v>
      </c>
      <c r="B29" s="6">
        <v>142508.96479999999</v>
      </c>
      <c r="C29" s="16">
        <v>49849.517300000007</v>
      </c>
    </row>
    <row r="30" spans="1:3" x14ac:dyDescent="0.2">
      <c r="A30" s="18">
        <v>0.28000000000000003</v>
      </c>
      <c r="B30" s="6">
        <v>140556.78719999999</v>
      </c>
      <c r="C30" s="16">
        <v>49166.647199999999</v>
      </c>
    </row>
    <row r="31" spans="1:3" x14ac:dyDescent="0.2">
      <c r="A31" s="18">
        <v>0.28999999999999998</v>
      </c>
      <c r="B31" s="6">
        <v>138604.6096</v>
      </c>
      <c r="C31" s="16">
        <v>48483.777099999999</v>
      </c>
    </row>
    <row r="32" spans="1:3" x14ac:dyDescent="0.2">
      <c r="A32" s="20">
        <v>0.3</v>
      </c>
      <c r="B32" s="22">
        <v>136652.432</v>
      </c>
      <c r="C32" s="17">
        <v>47800.907000000007</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7"/>
  <sheetViews>
    <sheetView zoomScale="75" workbookViewId="0">
      <selection activeCell="M22" sqref="M22"/>
    </sheetView>
  </sheetViews>
  <sheetFormatPr baseColWidth="10" defaultColWidth="8.83203125" defaultRowHeight="19" x14ac:dyDescent="0.2"/>
  <cols>
    <col min="1" max="1" width="15.6640625" style="4" customWidth="1"/>
    <col min="2" max="2" width="11.83203125" style="15" customWidth="1"/>
    <col min="3" max="3" width="18" style="4" customWidth="1"/>
    <col min="4" max="16384" width="8.83203125" style="4"/>
  </cols>
  <sheetData>
    <row r="1" spans="1:3" x14ac:dyDescent="0.2">
      <c r="A1" s="9" t="s">
        <v>227</v>
      </c>
      <c r="B1" s="10" t="s">
        <v>228</v>
      </c>
    </row>
    <row r="2" spans="1:3" x14ac:dyDescent="0.2">
      <c r="A2" s="11" t="s">
        <v>229</v>
      </c>
      <c r="B2" s="12">
        <v>-1.031550490191107</v>
      </c>
    </row>
    <row r="3" spans="1:3" x14ac:dyDescent="0.2">
      <c r="A3" s="11" t="s">
        <v>230</v>
      </c>
      <c r="B3" s="12">
        <v>0.3508559881951222</v>
      </c>
    </row>
    <row r="4" spans="1:3" x14ac:dyDescent="0.2">
      <c r="A4" s="11" t="s">
        <v>231</v>
      </c>
      <c r="B4" s="12">
        <v>0.59815229962644068</v>
      </c>
    </row>
    <row r="5" spans="1:3" x14ac:dyDescent="0.2">
      <c r="A5" s="13" t="s">
        <v>232</v>
      </c>
      <c r="B5" s="14">
        <v>200</v>
      </c>
    </row>
    <row r="7" spans="1:3" x14ac:dyDescent="0.2">
      <c r="A7" s="9" t="s">
        <v>4</v>
      </c>
      <c r="B7" s="19" t="s">
        <v>8</v>
      </c>
      <c r="C7" s="10" t="s">
        <v>233</v>
      </c>
    </row>
    <row r="8" spans="1:3" x14ac:dyDescent="0.2">
      <c r="A8" s="25">
        <v>1036.0899999999999</v>
      </c>
      <c r="B8" s="6">
        <v>331.55</v>
      </c>
      <c r="C8" s="16">
        <v>362.48683031889311</v>
      </c>
    </row>
    <row r="9" spans="1:3" x14ac:dyDescent="0.2">
      <c r="A9" s="25">
        <v>1101.28</v>
      </c>
      <c r="B9" s="6">
        <v>440.51</v>
      </c>
      <c r="C9" s="16">
        <v>385.35913218933308</v>
      </c>
    </row>
    <row r="10" spans="1:3" x14ac:dyDescent="0.2">
      <c r="A10" s="25">
        <v>713.34</v>
      </c>
      <c r="B10" s="6">
        <v>285.33999999999997</v>
      </c>
      <c r="C10" s="16">
        <v>249.24806012891739</v>
      </c>
    </row>
    <row r="11" spans="1:3" x14ac:dyDescent="0.2">
      <c r="A11" s="25">
        <v>760.93</v>
      </c>
      <c r="B11" s="6">
        <v>161.69999999999999</v>
      </c>
      <c r="C11" s="16">
        <v>265.94529660712323</v>
      </c>
    </row>
    <row r="12" spans="1:3" x14ac:dyDescent="0.2">
      <c r="A12" s="25">
        <v>847</v>
      </c>
      <c r="B12" s="6">
        <v>271.04000000000002</v>
      </c>
      <c r="C12" s="16">
        <v>296.14347151107751</v>
      </c>
    </row>
    <row r="13" spans="1:3" x14ac:dyDescent="0.2">
      <c r="A13" s="25">
        <v>965.64</v>
      </c>
      <c r="B13" s="6">
        <v>304.18</v>
      </c>
      <c r="C13" s="16">
        <v>337.76902595054668</v>
      </c>
    </row>
    <row r="14" spans="1:3" x14ac:dyDescent="0.2">
      <c r="A14" s="25">
        <v>1317.53</v>
      </c>
      <c r="B14" s="6">
        <v>312.91000000000003</v>
      </c>
      <c r="C14" s="16">
        <v>461.23173963652829</v>
      </c>
    </row>
    <row r="15" spans="1:3" x14ac:dyDescent="0.2">
      <c r="A15" s="25">
        <v>1074.47</v>
      </c>
      <c r="B15" s="6">
        <v>300.85000000000002</v>
      </c>
      <c r="C15" s="16">
        <v>375.95268314582188</v>
      </c>
    </row>
    <row r="16" spans="1:3" x14ac:dyDescent="0.2">
      <c r="A16" s="25">
        <v>501.54</v>
      </c>
      <c r="B16" s="6">
        <v>190.59</v>
      </c>
      <c r="C16" s="16">
        <v>174.93676182919049</v>
      </c>
    </row>
    <row r="17" spans="1:3" x14ac:dyDescent="0.2">
      <c r="A17" s="25">
        <v>737.31</v>
      </c>
      <c r="B17" s="6">
        <v>350.22</v>
      </c>
      <c r="C17" s="16">
        <v>257.65807816595452</v>
      </c>
    </row>
    <row r="18" spans="1:3" x14ac:dyDescent="0.2">
      <c r="A18" s="25">
        <v>1572.82</v>
      </c>
      <c r="B18" s="6">
        <v>672.38</v>
      </c>
      <c r="C18" s="16">
        <v>550.80176486286098</v>
      </c>
    </row>
    <row r="19" spans="1:3" x14ac:dyDescent="0.2">
      <c r="A19" s="25">
        <v>1343.13</v>
      </c>
      <c r="B19" s="6">
        <v>456.66</v>
      </c>
      <c r="C19" s="16">
        <v>470.21365293432342</v>
      </c>
    </row>
    <row r="20" spans="1:3" x14ac:dyDescent="0.2">
      <c r="A20" s="25">
        <v>1191.58</v>
      </c>
      <c r="B20" s="6">
        <v>452.8</v>
      </c>
      <c r="C20" s="16">
        <v>417.04142792335261</v>
      </c>
    </row>
    <row r="21" spans="1:3" x14ac:dyDescent="0.2">
      <c r="A21" s="25">
        <v>822.28</v>
      </c>
      <c r="B21" s="6">
        <v>273.41000000000003</v>
      </c>
      <c r="C21" s="16">
        <v>287.47031148289398</v>
      </c>
    </row>
    <row r="22" spans="1:3" x14ac:dyDescent="0.2">
      <c r="A22" s="25">
        <v>521.66999999999996</v>
      </c>
      <c r="B22" s="6">
        <v>155.19999999999999</v>
      </c>
      <c r="C22" s="16">
        <v>181.99949287155829</v>
      </c>
    </row>
    <row r="23" spans="1:3" x14ac:dyDescent="0.2">
      <c r="A23" s="25">
        <v>1502.93</v>
      </c>
      <c r="B23" s="6">
        <v>300.58999999999997</v>
      </c>
      <c r="C23" s="16">
        <v>526.28043984790395</v>
      </c>
    </row>
    <row r="24" spans="1:3" x14ac:dyDescent="0.2">
      <c r="A24" s="25">
        <v>877.58</v>
      </c>
      <c r="B24" s="6">
        <v>298.38</v>
      </c>
      <c r="C24" s="16">
        <v>306.87264763008432</v>
      </c>
    </row>
    <row r="25" spans="1:3" x14ac:dyDescent="0.2">
      <c r="A25" s="25">
        <v>636.70000000000005</v>
      </c>
      <c r="B25" s="6">
        <v>203.74</v>
      </c>
      <c r="C25" s="16">
        <v>222.3584571936432</v>
      </c>
    </row>
    <row r="26" spans="1:3" x14ac:dyDescent="0.2">
      <c r="A26" s="25">
        <v>1506.14</v>
      </c>
      <c r="B26" s="6">
        <v>481.96</v>
      </c>
      <c r="C26" s="16">
        <v>527.40668757001026</v>
      </c>
    </row>
    <row r="27" spans="1:3" x14ac:dyDescent="0.2">
      <c r="A27" s="25">
        <v>645.02</v>
      </c>
      <c r="B27" s="6">
        <v>161.26</v>
      </c>
      <c r="C27" s="16">
        <v>225.2775790154266</v>
      </c>
    </row>
    <row r="28" spans="1:3" x14ac:dyDescent="0.2">
      <c r="A28" s="25">
        <v>953.3</v>
      </c>
      <c r="B28" s="6">
        <v>476.65</v>
      </c>
      <c r="C28" s="16">
        <v>333.43946305621893</v>
      </c>
    </row>
    <row r="29" spans="1:3" x14ac:dyDescent="0.2">
      <c r="A29" s="25">
        <v>388.56</v>
      </c>
      <c r="B29" s="6">
        <v>82.57</v>
      </c>
      <c r="C29" s="16">
        <v>135.29705228290561</v>
      </c>
    </row>
    <row r="30" spans="1:3" x14ac:dyDescent="0.2">
      <c r="A30" s="25">
        <v>743.17</v>
      </c>
      <c r="B30" s="6">
        <v>297.27</v>
      </c>
      <c r="C30" s="16">
        <v>259.71409425677791</v>
      </c>
    </row>
    <row r="31" spans="1:3" x14ac:dyDescent="0.2">
      <c r="A31" s="25">
        <v>706.37</v>
      </c>
      <c r="B31" s="6">
        <v>176.59</v>
      </c>
      <c r="C31" s="16">
        <v>246.8025938911974</v>
      </c>
    </row>
    <row r="32" spans="1:3" x14ac:dyDescent="0.2">
      <c r="A32" s="25">
        <v>925.31</v>
      </c>
      <c r="B32" s="6">
        <v>374.75</v>
      </c>
      <c r="C32" s="16">
        <v>323.61900394663741</v>
      </c>
    </row>
    <row r="33" spans="1:3" x14ac:dyDescent="0.2">
      <c r="A33" s="25">
        <v>1173.1199999999999</v>
      </c>
      <c r="B33" s="6">
        <v>293.27999999999997</v>
      </c>
      <c r="C33" s="16">
        <v>410.56462638127061</v>
      </c>
    </row>
    <row r="34" spans="1:3" x14ac:dyDescent="0.2">
      <c r="A34" s="25">
        <v>675.54</v>
      </c>
      <c r="B34" s="6">
        <v>236.44</v>
      </c>
      <c r="C34" s="16">
        <v>235.9857037751417</v>
      </c>
    </row>
    <row r="35" spans="1:3" x14ac:dyDescent="0.2">
      <c r="A35" s="25">
        <v>939.09</v>
      </c>
      <c r="B35" s="6">
        <v>356.85</v>
      </c>
      <c r="C35" s="16">
        <v>328.45379946396622</v>
      </c>
    </row>
    <row r="36" spans="1:3" x14ac:dyDescent="0.2">
      <c r="A36" s="25">
        <v>983.34</v>
      </c>
      <c r="B36" s="6">
        <v>398.25</v>
      </c>
      <c r="C36" s="16">
        <v>343.97917694160037</v>
      </c>
    </row>
    <row r="37" spans="1:3" x14ac:dyDescent="0.2">
      <c r="A37" s="25">
        <v>801.21</v>
      </c>
      <c r="B37" s="6">
        <v>160.24</v>
      </c>
      <c r="C37" s="16">
        <v>280.07777581162281</v>
      </c>
    </row>
    <row r="38" spans="1:3" x14ac:dyDescent="0.2">
      <c r="A38" s="25">
        <v>1450.71</v>
      </c>
      <c r="B38" s="6">
        <v>326.41000000000003</v>
      </c>
      <c r="C38" s="16">
        <v>507.95874014435469</v>
      </c>
    </row>
    <row r="39" spans="1:3" x14ac:dyDescent="0.2">
      <c r="A39" s="25">
        <v>1023.21</v>
      </c>
      <c r="B39" s="6">
        <v>388.82</v>
      </c>
      <c r="C39" s="16">
        <v>357.96780519093988</v>
      </c>
    </row>
    <row r="40" spans="1:3" x14ac:dyDescent="0.2">
      <c r="A40" s="25">
        <v>853.72</v>
      </c>
      <c r="B40" s="6">
        <v>253.98</v>
      </c>
      <c r="C40" s="16">
        <v>298.50122375174868</v>
      </c>
    </row>
    <row r="41" spans="1:3" x14ac:dyDescent="0.2">
      <c r="A41" s="25">
        <v>967.89</v>
      </c>
      <c r="B41" s="6">
        <v>217.78</v>
      </c>
      <c r="C41" s="16">
        <v>338.55845192398567</v>
      </c>
    </row>
    <row r="42" spans="1:3" x14ac:dyDescent="0.2">
      <c r="A42" s="25">
        <v>1200.9000000000001</v>
      </c>
      <c r="B42" s="6">
        <v>513.38</v>
      </c>
      <c r="C42" s="16">
        <v>420.31140573333118</v>
      </c>
    </row>
    <row r="43" spans="1:3" x14ac:dyDescent="0.2">
      <c r="A43" s="25">
        <v>472.38</v>
      </c>
      <c r="B43" s="6">
        <v>151.16</v>
      </c>
      <c r="C43" s="16">
        <v>164.7058012134207</v>
      </c>
    </row>
    <row r="44" spans="1:3" x14ac:dyDescent="0.2">
      <c r="A44" s="25">
        <v>840.92</v>
      </c>
      <c r="B44" s="6">
        <v>359.49</v>
      </c>
      <c r="C44" s="16">
        <v>294.01026710285112</v>
      </c>
    </row>
    <row r="45" spans="1:3" x14ac:dyDescent="0.2">
      <c r="A45" s="25">
        <v>1410.06</v>
      </c>
      <c r="B45" s="6">
        <v>468.84</v>
      </c>
      <c r="C45" s="16">
        <v>493.69644422422289</v>
      </c>
    </row>
    <row r="46" spans="1:3" x14ac:dyDescent="0.2">
      <c r="A46" s="25">
        <v>773.09</v>
      </c>
      <c r="B46" s="6">
        <v>229.99</v>
      </c>
      <c r="C46" s="16">
        <v>270.21170542357589</v>
      </c>
    </row>
    <row r="47" spans="1:3" x14ac:dyDescent="0.2">
      <c r="A47" s="25">
        <v>580.42999999999995</v>
      </c>
      <c r="B47" s="6">
        <v>197.35</v>
      </c>
      <c r="C47" s="16">
        <v>202.61579073790369</v>
      </c>
    </row>
    <row r="48" spans="1:3" x14ac:dyDescent="0.2">
      <c r="A48" s="25">
        <v>1151.21</v>
      </c>
      <c r="B48" s="6">
        <v>414.44</v>
      </c>
      <c r="C48" s="16">
        <v>402.87737167991548</v>
      </c>
    </row>
    <row r="49" spans="1:3" x14ac:dyDescent="0.2">
      <c r="A49" s="25">
        <v>1025.98</v>
      </c>
      <c r="B49" s="6">
        <v>369.35</v>
      </c>
      <c r="C49" s="16">
        <v>358.93967627824043</v>
      </c>
    </row>
    <row r="50" spans="1:3" x14ac:dyDescent="0.2">
      <c r="A50" s="25">
        <v>556.41999999999996</v>
      </c>
      <c r="B50" s="6">
        <v>212.83</v>
      </c>
      <c r="C50" s="16">
        <v>194.19173846133879</v>
      </c>
    </row>
    <row r="51" spans="1:3" x14ac:dyDescent="0.2">
      <c r="A51" s="25">
        <v>840.85</v>
      </c>
      <c r="B51" s="6">
        <v>302.70999999999998</v>
      </c>
      <c r="C51" s="16">
        <v>293.98570718367739</v>
      </c>
    </row>
    <row r="52" spans="1:3" x14ac:dyDescent="0.2">
      <c r="A52" s="25">
        <v>1227.25</v>
      </c>
      <c r="B52" s="6">
        <v>365.11</v>
      </c>
      <c r="C52" s="16">
        <v>429.55646102227257</v>
      </c>
    </row>
    <row r="53" spans="1:3" x14ac:dyDescent="0.2">
      <c r="A53" s="25">
        <v>856.7</v>
      </c>
      <c r="B53" s="6">
        <v>214.18</v>
      </c>
      <c r="C53" s="16">
        <v>299.54677459657012</v>
      </c>
    </row>
    <row r="54" spans="1:3" x14ac:dyDescent="0.2">
      <c r="A54" s="25">
        <v>1225.42</v>
      </c>
      <c r="B54" s="6">
        <v>468.72</v>
      </c>
      <c r="C54" s="16">
        <v>428.91439456387559</v>
      </c>
    </row>
    <row r="55" spans="1:3" x14ac:dyDescent="0.2">
      <c r="A55" s="25">
        <v>1001.57</v>
      </c>
      <c r="B55" s="6">
        <v>450.71</v>
      </c>
      <c r="C55" s="16">
        <v>350.37528160639749</v>
      </c>
    </row>
    <row r="56" spans="1:3" x14ac:dyDescent="0.2">
      <c r="A56" s="25">
        <v>1186.8499999999999</v>
      </c>
      <c r="B56" s="6">
        <v>332.32</v>
      </c>
      <c r="C56" s="16">
        <v>415.38187909918969</v>
      </c>
    </row>
    <row r="57" spans="1:3" x14ac:dyDescent="0.2">
      <c r="A57" s="25">
        <v>775.45</v>
      </c>
      <c r="B57" s="6">
        <v>174.48</v>
      </c>
      <c r="C57" s="16">
        <v>271.03972555571647</v>
      </c>
    </row>
    <row r="58" spans="1:3" x14ac:dyDescent="0.2">
      <c r="A58" s="25">
        <v>1021.47</v>
      </c>
      <c r="B58" s="6">
        <v>242.6</v>
      </c>
      <c r="C58" s="16">
        <v>357.35731577148039</v>
      </c>
    </row>
    <row r="59" spans="1:3" x14ac:dyDescent="0.2">
      <c r="A59" s="25">
        <v>1226.6199999999999</v>
      </c>
      <c r="B59" s="6">
        <v>551.98</v>
      </c>
      <c r="C59" s="16">
        <v>429.33542174970972</v>
      </c>
    </row>
    <row r="60" spans="1:3" x14ac:dyDescent="0.2">
      <c r="A60" s="25">
        <v>1086.93</v>
      </c>
      <c r="B60" s="6">
        <v>380.43</v>
      </c>
      <c r="C60" s="16">
        <v>380.32434875873309</v>
      </c>
    </row>
    <row r="61" spans="1:3" x14ac:dyDescent="0.2">
      <c r="A61" s="25">
        <v>942.9</v>
      </c>
      <c r="B61" s="6">
        <v>339.44</v>
      </c>
      <c r="C61" s="16">
        <v>329.79056077898957</v>
      </c>
    </row>
    <row r="62" spans="1:3" x14ac:dyDescent="0.2">
      <c r="A62" s="25">
        <v>818.8</v>
      </c>
      <c r="B62" s="6">
        <v>173.99</v>
      </c>
      <c r="C62" s="16">
        <v>286.24933264397498</v>
      </c>
    </row>
    <row r="63" spans="1:3" x14ac:dyDescent="0.2">
      <c r="A63" s="25">
        <v>919.04</v>
      </c>
      <c r="B63" s="6">
        <v>257.33</v>
      </c>
      <c r="C63" s="16">
        <v>321.419136900654</v>
      </c>
    </row>
    <row r="64" spans="1:3" x14ac:dyDescent="0.2">
      <c r="A64" s="25">
        <v>973.26</v>
      </c>
      <c r="B64" s="6">
        <v>389.3</v>
      </c>
      <c r="C64" s="16">
        <v>340.44254858059361</v>
      </c>
    </row>
    <row r="65" spans="1:3" x14ac:dyDescent="0.2">
      <c r="A65" s="25">
        <v>741.61</v>
      </c>
      <c r="B65" s="6">
        <v>148.32</v>
      </c>
      <c r="C65" s="16">
        <v>259.1667589151935</v>
      </c>
    </row>
    <row r="66" spans="1:3" x14ac:dyDescent="0.2">
      <c r="A66" s="25">
        <v>1248.82</v>
      </c>
      <c r="B66" s="6">
        <v>449.58</v>
      </c>
      <c r="C66" s="16">
        <v>437.12442468764141</v>
      </c>
    </row>
    <row r="67" spans="1:3" x14ac:dyDescent="0.2">
      <c r="A67" s="25">
        <v>1360.36</v>
      </c>
      <c r="B67" s="6">
        <v>680.18</v>
      </c>
      <c r="C67" s="16">
        <v>476.25890161092531</v>
      </c>
    </row>
    <row r="68" spans="1:3" x14ac:dyDescent="0.2">
      <c r="A68" s="25">
        <v>1383.3</v>
      </c>
      <c r="B68" s="6">
        <v>497.99</v>
      </c>
      <c r="C68" s="16">
        <v>484.30753798012142</v>
      </c>
    </row>
    <row r="69" spans="1:3" x14ac:dyDescent="0.2">
      <c r="A69" s="25">
        <v>488.99</v>
      </c>
      <c r="B69" s="6">
        <v>220.05</v>
      </c>
      <c r="C69" s="16">
        <v>170.5335191773417</v>
      </c>
    </row>
    <row r="70" spans="1:3" x14ac:dyDescent="0.2">
      <c r="A70" s="25">
        <v>933.71</v>
      </c>
      <c r="B70" s="6">
        <v>294.12</v>
      </c>
      <c r="C70" s="16">
        <v>326.56619424747652</v>
      </c>
    </row>
    <row r="71" spans="1:3" x14ac:dyDescent="0.2">
      <c r="A71" s="25">
        <v>1005.53</v>
      </c>
      <c r="B71" s="6">
        <v>201.11</v>
      </c>
      <c r="C71" s="16">
        <v>351.76467131965012</v>
      </c>
    </row>
    <row r="72" spans="1:3" x14ac:dyDescent="0.2">
      <c r="A72" s="25">
        <v>1100.0999999999999</v>
      </c>
      <c r="B72" s="6">
        <v>261.27</v>
      </c>
      <c r="C72" s="16">
        <v>384.94512212326282</v>
      </c>
    </row>
    <row r="73" spans="1:3" x14ac:dyDescent="0.2">
      <c r="A73" s="25">
        <v>1034.7</v>
      </c>
      <c r="B73" s="6">
        <v>307.82</v>
      </c>
      <c r="C73" s="16">
        <v>361.9991404953019</v>
      </c>
    </row>
    <row r="74" spans="1:3" x14ac:dyDescent="0.2">
      <c r="A74" s="25">
        <v>876.44</v>
      </c>
      <c r="B74" s="6">
        <v>333.05</v>
      </c>
      <c r="C74" s="16">
        <v>306.47267180354191</v>
      </c>
    </row>
    <row r="75" spans="1:3" x14ac:dyDescent="0.2">
      <c r="A75" s="25">
        <v>1371.34</v>
      </c>
      <c r="B75" s="6">
        <v>455.97</v>
      </c>
      <c r="C75" s="16">
        <v>480.11130036130783</v>
      </c>
    </row>
    <row r="76" spans="1:3" x14ac:dyDescent="0.2">
      <c r="A76" s="25">
        <v>1020.26</v>
      </c>
      <c r="B76" s="6">
        <v>242.31</v>
      </c>
      <c r="C76" s="16">
        <v>356.93278002576432</v>
      </c>
    </row>
    <row r="77" spans="1:3" x14ac:dyDescent="0.2">
      <c r="A77" s="25">
        <v>804.81</v>
      </c>
      <c r="B77" s="6">
        <v>344.06</v>
      </c>
      <c r="C77" s="16">
        <v>281.34085736912522</v>
      </c>
    </row>
    <row r="78" spans="1:3" x14ac:dyDescent="0.2">
      <c r="A78" s="25">
        <v>608.66</v>
      </c>
      <c r="B78" s="6">
        <v>144.56</v>
      </c>
      <c r="C78" s="16">
        <v>212.520455284652</v>
      </c>
    </row>
    <row r="79" spans="1:3" x14ac:dyDescent="0.2">
      <c r="A79" s="25">
        <v>981.2</v>
      </c>
      <c r="B79" s="6">
        <v>441.54</v>
      </c>
      <c r="C79" s="16">
        <v>343.22834512686279</v>
      </c>
    </row>
    <row r="80" spans="1:3" x14ac:dyDescent="0.2">
      <c r="A80" s="25">
        <v>539.77</v>
      </c>
      <c r="B80" s="6">
        <v>114.7</v>
      </c>
      <c r="C80" s="16">
        <v>188.34998625789001</v>
      </c>
    </row>
    <row r="81" spans="1:3" x14ac:dyDescent="0.2">
      <c r="A81" s="25">
        <v>804.45</v>
      </c>
      <c r="B81" s="6">
        <v>257.42</v>
      </c>
      <c r="C81" s="16">
        <v>281.21454921337499</v>
      </c>
    </row>
    <row r="82" spans="1:3" x14ac:dyDescent="0.2">
      <c r="A82" s="25">
        <v>1526.6</v>
      </c>
      <c r="B82" s="6">
        <v>305.32</v>
      </c>
      <c r="C82" s="16">
        <v>534.58520108848245</v>
      </c>
    </row>
    <row r="83" spans="1:3" x14ac:dyDescent="0.2">
      <c r="A83" s="25">
        <v>1215.26</v>
      </c>
      <c r="B83" s="6">
        <v>258.24</v>
      </c>
      <c r="C83" s="16">
        <v>425.34969772381311</v>
      </c>
    </row>
    <row r="84" spans="1:3" x14ac:dyDescent="0.2">
      <c r="A84" s="25">
        <v>1261.3399999999999</v>
      </c>
      <c r="B84" s="6">
        <v>441.47</v>
      </c>
      <c r="C84" s="16">
        <v>441.51714165984441</v>
      </c>
    </row>
    <row r="85" spans="1:3" x14ac:dyDescent="0.2">
      <c r="A85" s="25">
        <v>518.07000000000005</v>
      </c>
      <c r="B85" s="6">
        <v>172.26</v>
      </c>
      <c r="C85" s="16">
        <v>180.73641131405591</v>
      </c>
    </row>
    <row r="86" spans="1:3" x14ac:dyDescent="0.2">
      <c r="A86" s="25">
        <v>1111.3399999999999</v>
      </c>
      <c r="B86" s="6">
        <v>500.1</v>
      </c>
      <c r="C86" s="16">
        <v>388.88874343057603</v>
      </c>
    </row>
    <row r="87" spans="1:3" x14ac:dyDescent="0.2">
      <c r="A87" s="25">
        <v>1291.47</v>
      </c>
      <c r="B87" s="6">
        <v>581.16</v>
      </c>
      <c r="C87" s="16">
        <v>452.0884325841634</v>
      </c>
    </row>
    <row r="88" spans="1:3" x14ac:dyDescent="0.2">
      <c r="A88" s="25">
        <v>679.71</v>
      </c>
      <c r="B88" s="6">
        <v>271.88</v>
      </c>
      <c r="C88" s="16">
        <v>237.44877324591539</v>
      </c>
    </row>
    <row r="89" spans="1:3" x14ac:dyDescent="0.2">
      <c r="A89" s="25">
        <v>1143.69</v>
      </c>
      <c r="B89" s="6">
        <v>400.29</v>
      </c>
      <c r="C89" s="16">
        <v>400.23893464868831</v>
      </c>
    </row>
    <row r="90" spans="1:3" x14ac:dyDescent="0.2">
      <c r="A90" s="25">
        <v>790.08</v>
      </c>
      <c r="B90" s="6">
        <v>177.77</v>
      </c>
      <c r="C90" s="16">
        <v>276.17274866301108</v>
      </c>
    </row>
    <row r="91" spans="1:3" x14ac:dyDescent="0.2">
      <c r="A91" s="25">
        <v>1070.68</v>
      </c>
      <c r="B91" s="6">
        <v>406.86</v>
      </c>
      <c r="C91" s="16">
        <v>374.6229389505624</v>
      </c>
    </row>
    <row r="92" spans="1:3" x14ac:dyDescent="0.2">
      <c r="A92" s="25">
        <v>1168.8900000000001</v>
      </c>
      <c r="B92" s="6">
        <v>526</v>
      </c>
      <c r="C92" s="16">
        <v>409.08050555120542</v>
      </c>
    </row>
    <row r="93" spans="1:3" x14ac:dyDescent="0.2">
      <c r="A93" s="25">
        <v>1335.87</v>
      </c>
      <c r="B93" s="6">
        <v>333.97</v>
      </c>
      <c r="C93" s="16">
        <v>467.66643846002682</v>
      </c>
    </row>
    <row r="94" spans="1:3" x14ac:dyDescent="0.2">
      <c r="A94" s="25">
        <v>873.7</v>
      </c>
      <c r="B94" s="6">
        <v>305.8</v>
      </c>
      <c r="C94" s="16">
        <v>305.51132639588718</v>
      </c>
    </row>
    <row r="95" spans="1:3" x14ac:dyDescent="0.2">
      <c r="A95" s="25">
        <v>1443.98</v>
      </c>
      <c r="B95" s="6">
        <v>649.79</v>
      </c>
      <c r="C95" s="16">
        <v>505.59747934380152</v>
      </c>
    </row>
    <row r="96" spans="1:3" x14ac:dyDescent="0.2">
      <c r="A96" s="25">
        <v>1154.33</v>
      </c>
      <c r="B96" s="6">
        <v>441.53</v>
      </c>
      <c r="C96" s="16">
        <v>403.97204236308431</v>
      </c>
    </row>
    <row r="97" spans="1:3" x14ac:dyDescent="0.2">
      <c r="A97" s="25">
        <v>1264.49</v>
      </c>
      <c r="B97" s="6">
        <v>480.51</v>
      </c>
      <c r="C97" s="16">
        <v>442.62233802265899</v>
      </c>
    </row>
    <row r="98" spans="1:3" x14ac:dyDescent="0.2">
      <c r="A98" s="25">
        <v>1101.55</v>
      </c>
      <c r="B98" s="6">
        <v>346.99</v>
      </c>
      <c r="C98" s="16">
        <v>385.45386330614582</v>
      </c>
    </row>
    <row r="99" spans="1:3" x14ac:dyDescent="0.2">
      <c r="A99" s="25">
        <v>727.73</v>
      </c>
      <c r="B99" s="6">
        <v>229.23</v>
      </c>
      <c r="C99" s="16">
        <v>254.29687779904521</v>
      </c>
    </row>
    <row r="100" spans="1:3" x14ac:dyDescent="0.2">
      <c r="A100" s="25">
        <v>875.41</v>
      </c>
      <c r="B100" s="6">
        <v>334.84</v>
      </c>
      <c r="C100" s="16">
        <v>306.11129013570081</v>
      </c>
    </row>
    <row r="101" spans="1:3" x14ac:dyDescent="0.2">
      <c r="A101" s="25">
        <v>1158.94</v>
      </c>
      <c r="B101" s="6">
        <v>231.79</v>
      </c>
      <c r="C101" s="16">
        <v>405.58948846866389</v>
      </c>
    </row>
    <row r="102" spans="1:3" x14ac:dyDescent="0.2">
      <c r="A102" s="25">
        <v>966.3</v>
      </c>
      <c r="B102" s="6">
        <v>328.54</v>
      </c>
      <c r="C102" s="16">
        <v>338.0005909027555</v>
      </c>
    </row>
    <row r="103" spans="1:3" x14ac:dyDescent="0.2">
      <c r="A103" s="25">
        <v>917.48</v>
      </c>
      <c r="B103" s="6">
        <v>366.99</v>
      </c>
      <c r="C103" s="16">
        <v>320.87180155906958</v>
      </c>
    </row>
    <row r="104" spans="1:3" x14ac:dyDescent="0.2">
      <c r="A104" s="25">
        <v>1172.97</v>
      </c>
      <c r="B104" s="6">
        <v>348.96</v>
      </c>
      <c r="C104" s="16">
        <v>410.5119979830414</v>
      </c>
    </row>
    <row r="105" spans="1:3" x14ac:dyDescent="0.2">
      <c r="A105" s="25">
        <v>1205.82</v>
      </c>
      <c r="B105" s="6">
        <v>542.62</v>
      </c>
      <c r="C105" s="16">
        <v>422.03761719525107</v>
      </c>
    </row>
    <row r="106" spans="1:3" x14ac:dyDescent="0.2">
      <c r="A106" s="25">
        <v>826.93</v>
      </c>
      <c r="B106" s="6">
        <v>297.69</v>
      </c>
      <c r="C106" s="16">
        <v>289.1017918280013</v>
      </c>
    </row>
    <row r="107" spans="1:3" x14ac:dyDescent="0.2">
      <c r="A107" s="25">
        <v>902.19</v>
      </c>
      <c r="B107" s="6">
        <v>451.1</v>
      </c>
      <c r="C107" s="16">
        <v>315.50721349956632</v>
      </c>
    </row>
    <row r="108" spans="1:3" x14ac:dyDescent="0.2">
      <c r="A108" s="25">
        <v>585.97</v>
      </c>
      <c r="B108" s="6">
        <v>210.95</v>
      </c>
      <c r="C108" s="16">
        <v>204.55953291250469</v>
      </c>
    </row>
    <row r="109" spans="1:3" x14ac:dyDescent="0.2">
      <c r="A109" s="25">
        <v>990.19</v>
      </c>
      <c r="B109" s="6">
        <v>445.59</v>
      </c>
      <c r="C109" s="16">
        <v>346.382540460737</v>
      </c>
    </row>
    <row r="110" spans="1:3" x14ac:dyDescent="0.2">
      <c r="A110" s="25">
        <v>1014.09</v>
      </c>
      <c r="B110" s="6">
        <v>202.82</v>
      </c>
      <c r="C110" s="16">
        <v>354.76799857860038</v>
      </c>
    </row>
    <row r="111" spans="1:3" x14ac:dyDescent="0.2">
      <c r="A111" s="25">
        <v>925.29</v>
      </c>
      <c r="B111" s="6">
        <v>231.32</v>
      </c>
      <c r="C111" s="16">
        <v>323.61198682687348</v>
      </c>
    </row>
    <row r="112" spans="1:3" x14ac:dyDescent="0.2">
      <c r="A112" s="25">
        <v>1286.54</v>
      </c>
      <c r="B112" s="6">
        <v>450.29</v>
      </c>
      <c r="C112" s="16">
        <v>450.3587125623614</v>
      </c>
    </row>
    <row r="113" spans="1:3" x14ac:dyDescent="0.2">
      <c r="A113" s="25">
        <v>961.62</v>
      </c>
      <c r="B113" s="6">
        <v>307.72000000000003</v>
      </c>
      <c r="C113" s="16">
        <v>336.35858487800232</v>
      </c>
    </row>
    <row r="114" spans="1:3" x14ac:dyDescent="0.2">
      <c r="A114" s="25">
        <v>1081.1400000000001</v>
      </c>
      <c r="B114" s="6">
        <v>367.59</v>
      </c>
      <c r="C114" s="16">
        <v>378.29289258708337</v>
      </c>
    </row>
    <row r="115" spans="1:3" x14ac:dyDescent="0.2">
      <c r="A115" s="25">
        <v>1923.66</v>
      </c>
      <c r="B115" s="6">
        <v>769.46</v>
      </c>
      <c r="C115" s="16">
        <v>673.89607976123773</v>
      </c>
    </row>
    <row r="116" spans="1:3" x14ac:dyDescent="0.2">
      <c r="A116" s="25">
        <v>728.71</v>
      </c>
      <c r="B116" s="6">
        <v>327.92</v>
      </c>
      <c r="C116" s="16">
        <v>254.6407166674764</v>
      </c>
    </row>
    <row r="117" spans="1:3" x14ac:dyDescent="0.2">
      <c r="A117" s="25">
        <v>1301.8900000000001</v>
      </c>
      <c r="B117" s="6">
        <v>553.29999999999995</v>
      </c>
      <c r="C117" s="16">
        <v>455.74435198115663</v>
      </c>
    </row>
    <row r="118" spans="1:3" x14ac:dyDescent="0.2">
      <c r="A118" s="25">
        <v>980.18</v>
      </c>
      <c r="B118" s="6">
        <v>352.86</v>
      </c>
      <c r="C118" s="16">
        <v>342.8704720189038</v>
      </c>
    </row>
    <row r="119" spans="1:3" x14ac:dyDescent="0.2">
      <c r="A119" s="25">
        <v>697.57</v>
      </c>
      <c r="B119" s="6">
        <v>313.91000000000003</v>
      </c>
      <c r="C119" s="16">
        <v>243.7150611950803</v>
      </c>
    </row>
    <row r="120" spans="1:3" x14ac:dyDescent="0.2">
      <c r="A120" s="25">
        <v>1193.6099999999999</v>
      </c>
      <c r="B120" s="6">
        <v>355.1</v>
      </c>
      <c r="C120" s="16">
        <v>417.75366557938872</v>
      </c>
    </row>
    <row r="121" spans="1:3" x14ac:dyDescent="0.2">
      <c r="A121" s="25">
        <v>771.02</v>
      </c>
      <c r="B121" s="6">
        <v>192.76</v>
      </c>
      <c r="C121" s="16">
        <v>269.48543352801198</v>
      </c>
    </row>
    <row r="122" spans="1:3" x14ac:dyDescent="0.2">
      <c r="A122" s="25">
        <v>661.09</v>
      </c>
      <c r="B122" s="6">
        <v>264.44</v>
      </c>
      <c r="C122" s="16">
        <v>230.91583474572221</v>
      </c>
    </row>
    <row r="123" spans="1:3" x14ac:dyDescent="0.2">
      <c r="A123" s="25">
        <v>688.83</v>
      </c>
      <c r="B123" s="6">
        <v>172.21</v>
      </c>
      <c r="C123" s="16">
        <v>240.64857985825489</v>
      </c>
    </row>
    <row r="124" spans="1:3" x14ac:dyDescent="0.2">
      <c r="A124" s="25">
        <v>1249.0999999999999</v>
      </c>
      <c r="B124" s="6">
        <v>474.66</v>
      </c>
      <c r="C124" s="16">
        <v>437.22266436433603</v>
      </c>
    </row>
    <row r="125" spans="1:3" x14ac:dyDescent="0.2">
      <c r="A125" s="25">
        <v>1014.22</v>
      </c>
      <c r="B125" s="6">
        <v>433.58</v>
      </c>
      <c r="C125" s="16">
        <v>354.81360985706579</v>
      </c>
    </row>
    <row r="126" spans="1:3" x14ac:dyDescent="0.2">
      <c r="A126" s="25">
        <v>1010.58</v>
      </c>
      <c r="B126" s="6">
        <v>343.6</v>
      </c>
      <c r="C126" s="16">
        <v>353.53649406003552</v>
      </c>
    </row>
    <row r="127" spans="1:3" x14ac:dyDescent="0.2">
      <c r="A127" s="25">
        <v>957.29</v>
      </c>
      <c r="B127" s="6">
        <v>318.3</v>
      </c>
      <c r="C127" s="16">
        <v>334.83937844911742</v>
      </c>
    </row>
    <row r="128" spans="1:3" x14ac:dyDescent="0.2">
      <c r="A128" s="25">
        <v>1077.92</v>
      </c>
      <c r="B128" s="6">
        <v>358.41</v>
      </c>
      <c r="C128" s="16">
        <v>377.16313630509512</v>
      </c>
    </row>
    <row r="129" spans="1:3" x14ac:dyDescent="0.2">
      <c r="A129" s="25">
        <v>1163.01</v>
      </c>
      <c r="B129" s="6">
        <v>581.5</v>
      </c>
      <c r="C129" s="16">
        <v>407.01747234061799</v>
      </c>
    </row>
    <row r="130" spans="1:3" x14ac:dyDescent="0.2">
      <c r="A130" s="25">
        <v>1014.56</v>
      </c>
      <c r="B130" s="6">
        <v>410.9</v>
      </c>
      <c r="C130" s="16">
        <v>354.93290089305208</v>
      </c>
    </row>
    <row r="131" spans="1:3" x14ac:dyDescent="0.2">
      <c r="A131" s="25">
        <v>718.04</v>
      </c>
      <c r="B131" s="6">
        <v>179.51</v>
      </c>
      <c r="C131" s="16">
        <v>250.89708327343439</v>
      </c>
    </row>
    <row r="132" spans="1:3" x14ac:dyDescent="0.2">
      <c r="A132" s="25">
        <v>1277.8499999999999</v>
      </c>
      <c r="B132" s="6">
        <v>511.14</v>
      </c>
      <c r="C132" s="16">
        <v>447.3097740249458</v>
      </c>
    </row>
    <row r="133" spans="1:3" x14ac:dyDescent="0.2">
      <c r="A133" s="25">
        <v>706.73</v>
      </c>
      <c r="B133" s="6">
        <v>150.18</v>
      </c>
      <c r="C133" s="16">
        <v>246.9289020469476</v>
      </c>
    </row>
    <row r="134" spans="1:3" x14ac:dyDescent="0.2">
      <c r="A134" s="25">
        <v>1410.59</v>
      </c>
      <c r="B134" s="6">
        <v>352.65</v>
      </c>
      <c r="C134" s="16">
        <v>493.88239789796631</v>
      </c>
    </row>
    <row r="135" spans="1:3" x14ac:dyDescent="0.2">
      <c r="A135" s="25">
        <v>1350.33</v>
      </c>
      <c r="B135" s="6">
        <v>472.62</v>
      </c>
      <c r="C135" s="16">
        <v>472.73981604932828</v>
      </c>
    </row>
    <row r="136" spans="1:3" x14ac:dyDescent="0.2">
      <c r="A136" s="25">
        <v>919.18</v>
      </c>
      <c r="B136" s="6">
        <v>195.33</v>
      </c>
      <c r="C136" s="16">
        <v>321.46825673900128</v>
      </c>
    </row>
    <row r="137" spans="1:3" x14ac:dyDescent="0.2">
      <c r="A137" s="25">
        <v>258.51</v>
      </c>
      <c r="B137" s="6">
        <v>64.63</v>
      </c>
      <c r="C137" s="16">
        <v>89.66823101812993</v>
      </c>
    </row>
    <row r="138" spans="1:3" x14ac:dyDescent="0.2">
      <c r="A138" s="25">
        <v>1213.48</v>
      </c>
      <c r="B138" s="6">
        <v>461.12</v>
      </c>
      <c r="C138" s="16">
        <v>424.72517406482581</v>
      </c>
    </row>
    <row r="139" spans="1:3" x14ac:dyDescent="0.2">
      <c r="A139" s="25">
        <v>1150.28</v>
      </c>
      <c r="B139" s="6">
        <v>437.11</v>
      </c>
      <c r="C139" s="16">
        <v>402.55107561089409</v>
      </c>
    </row>
    <row r="140" spans="1:3" x14ac:dyDescent="0.2">
      <c r="A140" s="25">
        <v>853.86</v>
      </c>
      <c r="B140" s="6">
        <v>268.97000000000003</v>
      </c>
      <c r="C140" s="16">
        <v>298.55034359009602</v>
      </c>
    </row>
    <row r="141" spans="1:3" x14ac:dyDescent="0.2">
      <c r="A141" s="25">
        <v>1061.04</v>
      </c>
      <c r="B141" s="6">
        <v>265.26</v>
      </c>
      <c r="C141" s="16">
        <v>371.24068722436141</v>
      </c>
    </row>
    <row r="142" spans="1:3" x14ac:dyDescent="0.2">
      <c r="A142" s="25">
        <v>894.55</v>
      </c>
      <c r="B142" s="6">
        <v>178.91</v>
      </c>
      <c r="C142" s="16">
        <v>312.82667374975551</v>
      </c>
    </row>
    <row r="143" spans="1:3" x14ac:dyDescent="0.2">
      <c r="A143" s="25">
        <v>833.91</v>
      </c>
      <c r="B143" s="6">
        <v>356.5</v>
      </c>
      <c r="C143" s="16">
        <v>291.55076662560327</v>
      </c>
    </row>
    <row r="144" spans="1:3" x14ac:dyDescent="0.2">
      <c r="A144" s="25">
        <v>820.19</v>
      </c>
      <c r="B144" s="6">
        <v>229.65</v>
      </c>
      <c r="C144" s="16">
        <v>286.73702246756619</v>
      </c>
    </row>
    <row r="145" spans="1:3" x14ac:dyDescent="0.2">
      <c r="A145" s="25">
        <v>511.74</v>
      </c>
      <c r="B145" s="6">
        <v>121.54</v>
      </c>
      <c r="C145" s="16">
        <v>178.51549290878069</v>
      </c>
    </row>
    <row r="146" spans="1:3" x14ac:dyDescent="0.2">
      <c r="A146" s="25">
        <v>806.03</v>
      </c>
      <c r="B146" s="6">
        <v>268</v>
      </c>
      <c r="C146" s="16">
        <v>281.76890167472328</v>
      </c>
    </row>
    <row r="147" spans="1:3" x14ac:dyDescent="0.2">
      <c r="A147" s="25">
        <v>1432.47</v>
      </c>
      <c r="B147" s="6">
        <v>426.16</v>
      </c>
      <c r="C147" s="16">
        <v>501.55912691967558</v>
      </c>
    </row>
    <row r="148" spans="1:3" x14ac:dyDescent="0.2">
      <c r="A148" s="25">
        <v>1488.58</v>
      </c>
      <c r="B148" s="6">
        <v>316.32</v>
      </c>
      <c r="C148" s="16">
        <v>521.24565641730385</v>
      </c>
    </row>
    <row r="149" spans="1:3" x14ac:dyDescent="0.2">
      <c r="A149" s="25">
        <v>1231.26</v>
      </c>
      <c r="B149" s="6">
        <v>492.5</v>
      </c>
      <c r="C149" s="16">
        <v>430.96339353493511</v>
      </c>
    </row>
    <row r="150" spans="1:3" x14ac:dyDescent="0.2">
      <c r="A150" s="25">
        <v>1161.67</v>
      </c>
      <c r="B150" s="6">
        <v>232.33</v>
      </c>
      <c r="C150" s="16">
        <v>406.54732531643663</v>
      </c>
    </row>
    <row r="151" spans="1:3" x14ac:dyDescent="0.2">
      <c r="A151" s="25">
        <v>388.23</v>
      </c>
      <c r="B151" s="6">
        <v>165.97</v>
      </c>
      <c r="C151" s="16">
        <v>135.1812698068012</v>
      </c>
    </row>
    <row r="152" spans="1:3" x14ac:dyDescent="0.2">
      <c r="A152" s="25">
        <v>1589.42</v>
      </c>
      <c r="B152" s="6">
        <v>675.5</v>
      </c>
      <c r="C152" s="16">
        <v>556.62597426690013</v>
      </c>
    </row>
    <row r="153" spans="1:3" x14ac:dyDescent="0.2">
      <c r="A153" s="25">
        <v>336.66</v>
      </c>
      <c r="B153" s="6">
        <v>134.66</v>
      </c>
      <c r="C153" s="16">
        <v>117.0876264955787</v>
      </c>
    </row>
    <row r="154" spans="1:3" x14ac:dyDescent="0.2">
      <c r="A154" s="25">
        <v>1353.79</v>
      </c>
      <c r="B154" s="6">
        <v>487.36</v>
      </c>
      <c r="C154" s="16">
        <v>473.95377776848341</v>
      </c>
    </row>
    <row r="155" spans="1:3" x14ac:dyDescent="0.2">
      <c r="A155" s="25">
        <v>662.61</v>
      </c>
      <c r="B155" s="6">
        <v>314.74</v>
      </c>
      <c r="C155" s="16">
        <v>231.44913584777879</v>
      </c>
    </row>
    <row r="156" spans="1:3" x14ac:dyDescent="0.2">
      <c r="A156" s="25">
        <v>309.42</v>
      </c>
      <c r="B156" s="6">
        <v>111.39</v>
      </c>
      <c r="C156" s="16">
        <v>107.5303093771436</v>
      </c>
    </row>
    <row r="157" spans="1:3" x14ac:dyDescent="0.2">
      <c r="A157" s="25">
        <v>884.63</v>
      </c>
      <c r="B157" s="6">
        <v>318.47000000000003</v>
      </c>
      <c r="C157" s="16">
        <v>309.34618234685979</v>
      </c>
    </row>
    <row r="158" spans="1:3" x14ac:dyDescent="0.2">
      <c r="A158" s="25">
        <v>745.05</v>
      </c>
      <c r="B158" s="6">
        <v>301.75</v>
      </c>
      <c r="C158" s="16">
        <v>260.37370351458469</v>
      </c>
    </row>
    <row r="159" spans="1:3" x14ac:dyDescent="0.2">
      <c r="A159" s="25">
        <v>870.23</v>
      </c>
      <c r="B159" s="6">
        <v>413.36</v>
      </c>
      <c r="C159" s="16">
        <v>304.29385611685012</v>
      </c>
    </row>
    <row r="160" spans="1:3" x14ac:dyDescent="0.2">
      <c r="A160" s="25">
        <v>862.19</v>
      </c>
      <c r="B160" s="6">
        <v>286.68</v>
      </c>
      <c r="C160" s="16">
        <v>301.47297397176129</v>
      </c>
    </row>
    <row r="161" spans="1:3" x14ac:dyDescent="0.2">
      <c r="A161" s="25">
        <v>1171.18</v>
      </c>
      <c r="B161" s="6">
        <v>556.30999999999995</v>
      </c>
      <c r="C161" s="16">
        <v>409.88396576417222</v>
      </c>
    </row>
    <row r="162" spans="1:3" x14ac:dyDescent="0.2">
      <c r="A162" s="25">
        <v>1054.56</v>
      </c>
      <c r="B162" s="6">
        <v>332.19</v>
      </c>
      <c r="C162" s="16">
        <v>368.96714042085699</v>
      </c>
    </row>
    <row r="163" spans="1:3" x14ac:dyDescent="0.2">
      <c r="A163" s="25">
        <v>1681.21</v>
      </c>
      <c r="B163" s="6">
        <v>336.24</v>
      </c>
      <c r="C163" s="16">
        <v>588.83104542333035</v>
      </c>
    </row>
    <row r="164" spans="1:3" x14ac:dyDescent="0.2">
      <c r="A164" s="25">
        <v>379.77</v>
      </c>
      <c r="B164" s="6">
        <v>180.39</v>
      </c>
      <c r="C164" s="16">
        <v>132.21302814667041</v>
      </c>
    </row>
    <row r="165" spans="1:3" x14ac:dyDescent="0.2">
      <c r="A165" s="25">
        <v>1076.33</v>
      </c>
      <c r="B165" s="6">
        <v>484.35</v>
      </c>
      <c r="C165" s="16">
        <v>376.60527528386478</v>
      </c>
    </row>
    <row r="166" spans="1:3" x14ac:dyDescent="0.2">
      <c r="A166" s="25">
        <v>1250.71</v>
      </c>
      <c r="B166" s="6">
        <v>562.82000000000005</v>
      </c>
      <c r="C166" s="16">
        <v>437.78754250533018</v>
      </c>
    </row>
    <row r="167" spans="1:3" x14ac:dyDescent="0.2">
      <c r="A167" s="25">
        <v>1118.3399999999999</v>
      </c>
      <c r="B167" s="6">
        <v>447.34</v>
      </c>
      <c r="C167" s="16">
        <v>391.34473534794188</v>
      </c>
    </row>
    <row r="168" spans="1:3" x14ac:dyDescent="0.2">
      <c r="A168" s="25">
        <v>1622.62</v>
      </c>
      <c r="B168" s="6">
        <v>649.04999999999995</v>
      </c>
      <c r="C168" s="16">
        <v>568.27439307497809</v>
      </c>
    </row>
    <row r="169" spans="1:3" x14ac:dyDescent="0.2">
      <c r="A169" s="25">
        <v>640.64</v>
      </c>
      <c r="B169" s="6">
        <v>205</v>
      </c>
      <c r="C169" s="16">
        <v>223.74082978713199</v>
      </c>
    </row>
    <row r="170" spans="1:3" x14ac:dyDescent="0.2">
      <c r="A170" s="25">
        <v>585.16</v>
      </c>
      <c r="B170" s="6">
        <v>263.32</v>
      </c>
      <c r="C170" s="16">
        <v>204.27533956206659</v>
      </c>
    </row>
    <row r="171" spans="1:3" x14ac:dyDescent="0.2">
      <c r="A171" s="25">
        <v>1109.98</v>
      </c>
      <c r="B171" s="6">
        <v>443.99</v>
      </c>
      <c r="C171" s="16">
        <v>388.41157928663068</v>
      </c>
    </row>
    <row r="172" spans="1:3" x14ac:dyDescent="0.2">
      <c r="A172" s="25">
        <v>1098.08</v>
      </c>
      <c r="B172" s="6">
        <v>395.31</v>
      </c>
      <c r="C172" s="16">
        <v>384.2363930271087</v>
      </c>
    </row>
    <row r="173" spans="1:3" x14ac:dyDescent="0.2">
      <c r="A173" s="25">
        <v>827.25</v>
      </c>
      <c r="B173" s="6">
        <v>335.04</v>
      </c>
      <c r="C173" s="16">
        <v>289.21406574422377</v>
      </c>
    </row>
    <row r="174" spans="1:3" x14ac:dyDescent="0.2">
      <c r="A174" s="25">
        <v>741.88</v>
      </c>
      <c r="B174" s="6">
        <v>333.85</v>
      </c>
      <c r="C174" s="16">
        <v>259.26149003200618</v>
      </c>
    </row>
    <row r="175" spans="1:3" x14ac:dyDescent="0.2">
      <c r="A175" s="25">
        <v>1311.26</v>
      </c>
      <c r="B175" s="6">
        <v>531.05999999999995</v>
      </c>
      <c r="C175" s="16">
        <v>459.03187259054488</v>
      </c>
    </row>
    <row r="176" spans="1:3" x14ac:dyDescent="0.2">
      <c r="A176" s="25">
        <v>573.32000000000005</v>
      </c>
      <c r="B176" s="6">
        <v>232.19</v>
      </c>
      <c r="C176" s="16">
        <v>200.1212046618364</v>
      </c>
    </row>
    <row r="177" spans="1:3" x14ac:dyDescent="0.2">
      <c r="A177" s="25">
        <v>1115.22</v>
      </c>
      <c r="B177" s="6">
        <v>223.04</v>
      </c>
      <c r="C177" s="16">
        <v>390.25006466477311</v>
      </c>
    </row>
    <row r="178" spans="1:3" x14ac:dyDescent="0.2">
      <c r="A178" s="25">
        <v>845.84</v>
      </c>
      <c r="B178" s="6">
        <v>422.92</v>
      </c>
      <c r="C178" s="16">
        <v>295.73647856477112</v>
      </c>
    </row>
    <row r="179" spans="1:3" x14ac:dyDescent="0.2">
      <c r="A179" s="25">
        <v>1029.8</v>
      </c>
      <c r="B179" s="6">
        <v>257.45</v>
      </c>
      <c r="C179" s="16">
        <v>360.27994615314577</v>
      </c>
    </row>
    <row r="180" spans="1:3" x14ac:dyDescent="0.2">
      <c r="A180" s="25">
        <v>1189.83</v>
      </c>
      <c r="B180" s="6">
        <v>380.75</v>
      </c>
      <c r="C180" s="16">
        <v>416.42742994401112</v>
      </c>
    </row>
    <row r="181" spans="1:3" x14ac:dyDescent="0.2">
      <c r="A181" s="25">
        <v>704.28</v>
      </c>
      <c r="B181" s="6">
        <v>225.37</v>
      </c>
      <c r="C181" s="16">
        <v>246.06930487586951</v>
      </c>
    </row>
    <row r="182" spans="1:3" x14ac:dyDescent="0.2">
      <c r="A182" s="25">
        <v>1618.22</v>
      </c>
      <c r="B182" s="6">
        <v>582.55999999999995</v>
      </c>
      <c r="C182" s="16">
        <v>566.73062672691958</v>
      </c>
    </row>
    <row r="183" spans="1:3" x14ac:dyDescent="0.2">
      <c r="A183" s="25">
        <v>1014.43</v>
      </c>
      <c r="B183" s="6">
        <v>344.91</v>
      </c>
      <c r="C183" s="16">
        <v>354.88728961458668</v>
      </c>
    </row>
    <row r="184" spans="1:3" x14ac:dyDescent="0.2">
      <c r="A184" s="25">
        <v>826.97</v>
      </c>
      <c r="B184" s="6">
        <v>330.79</v>
      </c>
      <c r="C184" s="16">
        <v>289.11582606752921</v>
      </c>
    </row>
    <row r="185" spans="1:3" x14ac:dyDescent="0.2">
      <c r="A185" s="25">
        <v>1022.23</v>
      </c>
      <c r="B185" s="6">
        <v>460</v>
      </c>
      <c r="C185" s="16">
        <v>357.62396632250869</v>
      </c>
    </row>
    <row r="186" spans="1:3" x14ac:dyDescent="0.2">
      <c r="A186" s="25">
        <v>1099.69</v>
      </c>
      <c r="B186" s="6">
        <v>439.88</v>
      </c>
      <c r="C186" s="16">
        <v>384.80127116810291</v>
      </c>
    </row>
    <row r="187" spans="1:3" x14ac:dyDescent="0.2">
      <c r="A187" s="25">
        <v>710.52</v>
      </c>
      <c r="B187" s="6">
        <v>255.79</v>
      </c>
      <c r="C187" s="16">
        <v>248.25864624220711</v>
      </c>
    </row>
    <row r="188" spans="1:3" x14ac:dyDescent="0.2">
      <c r="A188" s="25">
        <v>499.18</v>
      </c>
      <c r="B188" s="6">
        <v>159.74</v>
      </c>
      <c r="C188" s="16">
        <v>174.10874169704999</v>
      </c>
    </row>
    <row r="189" spans="1:3" x14ac:dyDescent="0.2">
      <c r="A189" s="25">
        <v>1064.19</v>
      </c>
      <c r="B189" s="6">
        <v>404.39</v>
      </c>
      <c r="C189" s="16">
        <v>372.34588358717599</v>
      </c>
    </row>
    <row r="190" spans="1:3" x14ac:dyDescent="0.2">
      <c r="A190" s="25">
        <v>438.76</v>
      </c>
      <c r="B190" s="6">
        <v>187.57</v>
      </c>
      <c r="C190" s="16">
        <v>152.9100228903007</v>
      </c>
    </row>
    <row r="191" spans="1:3" x14ac:dyDescent="0.2">
      <c r="A191" s="25">
        <v>864.98</v>
      </c>
      <c r="B191" s="6">
        <v>410.87</v>
      </c>
      <c r="C191" s="16">
        <v>302.45186217882571</v>
      </c>
    </row>
    <row r="192" spans="1:3" x14ac:dyDescent="0.2">
      <c r="A192" s="25">
        <v>984.93</v>
      </c>
      <c r="B192" s="6">
        <v>275.77999999999997</v>
      </c>
      <c r="C192" s="16">
        <v>344.5370379628306</v>
      </c>
    </row>
    <row r="193" spans="1:3" x14ac:dyDescent="0.2">
      <c r="A193" s="25">
        <v>1493.49</v>
      </c>
      <c r="B193" s="6">
        <v>746.74</v>
      </c>
      <c r="C193" s="16">
        <v>522.96835931934197</v>
      </c>
    </row>
    <row r="194" spans="1:3" x14ac:dyDescent="0.2">
      <c r="A194" s="25">
        <v>689.43</v>
      </c>
      <c r="B194" s="6">
        <v>310.24</v>
      </c>
      <c r="C194" s="16">
        <v>240.85909345117199</v>
      </c>
    </row>
    <row r="195" spans="1:3" x14ac:dyDescent="0.2">
      <c r="A195" s="25">
        <v>682.24</v>
      </c>
      <c r="B195" s="6">
        <v>341.12</v>
      </c>
      <c r="C195" s="16">
        <v>238.33643889604909</v>
      </c>
    </row>
    <row r="196" spans="1:3" x14ac:dyDescent="0.2">
      <c r="A196" s="25">
        <v>458.54</v>
      </c>
      <c r="B196" s="6">
        <v>91.71</v>
      </c>
      <c r="C196" s="16">
        <v>159.84995433680021</v>
      </c>
    </row>
    <row r="197" spans="1:3" x14ac:dyDescent="0.2">
      <c r="A197" s="25">
        <v>1184.25</v>
      </c>
      <c r="B197" s="6">
        <v>331.59</v>
      </c>
      <c r="C197" s="16">
        <v>414.46965352988241</v>
      </c>
    </row>
    <row r="198" spans="1:3" x14ac:dyDescent="0.2">
      <c r="A198" s="25">
        <v>762.14</v>
      </c>
      <c r="B198" s="6">
        <v>381.07</v>
      </c>
      <c r="C198" s="16">
        <v>266.36983235283941</v>
      </c>
    </row>
    <row r="199" spans="1:3" x14ac:dyDescent="0.2">
      <c r="A199" s="25">
        <v>750.71</v>
      </c>
      <c r="B199" s="6">
        <v>255.24</v>
      </c>
      <c r="C199" s="16">
        <v>262.35954840776913</v>
      </c>
    </row>
    <row r="200" spans="1:3" x14ac:dyDescent="0.2">
      <c r="A200" s="25">
        <v>1456.94</v>
      </c>
      <c r="B200" s="6">
        <v>692.05</v>
      </c>
      <c r="C200" s="16">
        <v>510.1445729508103</v>
      </c>
    </row>
    <row r="201" spans="1:3" x14ac:dyDescent="0.2">
      <c r="A201" s="25">
        <v>1093.3800000000001</v>
      </c>
      <c r="B201" s="6">
        <v>344.41</v>
      </c>
      <c r="C201" s="16">
        <v>382.5873698825917</v>
      </c>
    </row>
    <row r="202" spans="1:3" x14ac:dyDescent="0.2">
      <c r="A202" s="25">
        <v>934.27</v>
      </c>
      <c r="B202" s="6">
        <v>397.06</v>
      </c>
      <c r="C202" s="16">
        <v>326.76267360086581</v>
      </c>
    </row>
    <row r="203" spans="1:3" x14ac:dyDescent="0.2">
      <c r="A203" s="25">
        <v>1465.35</v>
      </c>
      <c r="B203" s="6">
        <v>586.14</v>
      </c>
      <c r="C203" s="16">
        <v>513.09527181153123</v>
      </c>
    </row>
    <row r="204" spans="1:3" x14ac:dyDescent="0.2">
      <c r="A204" s="25">
        <v>740.8</v>
      </c>
      <c r="B204" s="6">
        <v>333.36</v>
      </c>
      <c r="C204" s="16">
        <v>258.88256556475551</v>
      </c>
    </row>
    <row r="205" spans="1:3" x14ac:dyDescent="0.2">
      <c r="A205" s="25">
        <v>545.44000000000005</v>
      </c>
      <c r="B205" s="6">
        <v>245.45</v>
      </c>
      <c r="C205" s="16">
        <v>190.33933971095641</v>
      </c>
    </row>
    <row r="206" spans="1:3" x14ac:dyDescent="0.2">
      <c r="A206" s="25">
        <v>997.61</v>
      </c>
      <c r="B206" s="6">
        <v>379.09</v>
      </c>
      <c r="C206" s="16">
        <v>348.98589189314481</v>
      </c>
    </row>
    <row r="207" spans="1:3" x14ac:dyDescent="0.2">
      <c r="A207" s="26">
        <v>928.32</v>
      </c>
      <c r="B207" s="22">
        <v>440.95</v>
      </c>
      <c r="C207" s="17">
        <v>324.67508047110482</v>
      </c>
    </row>
  </sheetData>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
  <sheetViews>
    <sheetView workbookViewId="0"/>
  </sheetViews>
  <sheetFormatPr baseColWidth="10" defaultColWidth="8.83203125" defaultRowHeight="19" x14ac:dyDescent="0.2"/>
  <cols>
    <col min="1" max="1" width="30.6640625" style="4" customWidth="1"/>
    <col min="2" max="9" width="14.6640625" style="15" customWidth="1"/>
    <col min="10" max="16384" width="8.83203125" style="4"/>
  </cols>
  <sheetData>
    <row r="1" spans="1:9" x14ac:dyDescent="0.2">
      <c r="A1" s="9" t="s">
        <v>234</v>
      </c>
      <c r="B1" s="19" t="s">
        <v>235</v>
      </c>
      <c r="C1" s="19" t="s">
        <v>236</v>
      </c>
      <c r="D1" s="19" t="s">
        <v>237</v>
      </c>
      <c r="E1" s="19" t="s">
        <v>238</v>
      </c>
      <c r="F1" s="19" t="s">
        <v>239</v>
      </c>
      <c r="G1" s="19" t="s">
        <v>240</v>
      </c>
      <c r="H1" s="19" t="s">
        <v>241</v>
      </c>
      <c r="I1" s="10" t="s">
        <v>242</v>
      </c>
    </row>
    <row r="2" spans="1:9" x14ac:dyDescent="0.2">
      <c r="A2" s="11" t="s">
        <v>4</v>
      </c>
      <c r="B2" s="15">
        <v>200</v>
      </c>
      <c r="C2" s="15">
        <v>976.08879999999999</v>
      </c>
      <c r="D2" s="15">
        <v>299.27375909856329</v>
      </c>
      <c r="E2" s="15">
        <v>258.51</v>
      </c>
      <c r="F2" s="15">
        <v>761.83749999999998</v>
      </c>
      <c r="G2" s="15">
        <v>976.72</v>
      </c>
      <c r="H2" s="15">
        <v>1173.0074999999999</v>
      </c>
      <c r="I2" s="12">
        <v>1923.66</v>
      </c>
    </row>
    <row r="3" spans="1:9" x14ac:dyDescent="0.2">
      <c r="A3" s="11" t="s">
        <v>5</v>
      </c>
      <c r="B3" s="15">
        <v>200</v>
      </c>
      <c r="C3" s="15">
        <v>9.9949999999999992</v>
      </c>
      <c r="D3" s="15">
        <v>5.6466270449645091</v>
      </c>
      <c r="E3" s="15">
        <v>1</v>
      </c>
      <c r="F3" s="15">
        <v>5</v>
      </c>
      <c r="G3" s="15">
        <v>10</v>
      </c>
      <c r="H3" s="15">
        <v>15</v>
      </c>
      <c r="I3" s="12">
        <v>19</v>
      </c>
    </row>
    <row r="4" spans="1:9" x14ac:dyDescent="0.2">
      <c r="A4" s="11" t="s">
        <v>6</v>
      </c>
      <c r="B4" s="15">
        <v>200</v>
      </c>
      <c r="C4" s="15">
        <v>9.7250000000000017E-2</v>
      </c>
      <c r="D4" s="15">
        <v>7.2326295113355005E-2</v>
      </c>
      <c r="E4" s="15">
        <v>0</v>
      </c>
      <c r="F4" s="15">
        <v>0.05</v>
      </c>
      <c r="G4" s="15">
        <v>0.1</v>
      </c>
      <c r="H4" s="15">
        <v>0.15</v>
      </c>
      <c r="I4" s="12">
        <v>0.2</v>
      </c>
    </row>
    <row r="5" spans="1:9" x14ac:dyDescent="0.2">
      <c r="A5" s="13" t="s">
        <v>8</v>
      </c>
      <c r="B5" s="21">
        <v>200</v>
      </c>
      <c r="C5" s="21">
        <v>341.43504999999999</v>
      </c>
      <c r="D5" s="21">
        <v>135.76619405521649</v>
      </c>
      <c r="E5" s="21">
        <v>64.63</v>
      </c>
      <c r="F5" s="21">
        <v>240.8425</v>
      </c>
      <c r="G5" s="21">
        <v>332.255</v>
      </c>
      <c r="H5" s="21">
        <v>440.03750000000002</v>
      </c>
      <c r="I5" s="14">
        <v>769.46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selection activeCell="B8" sqref="B8"/>
    </sheetView>
  </sheetViews>
  <sheetFormatPr baseColWidth="10" defaultColWidth="8.83203125" defaultRowHeight="19" x14ac:dyDescent="0.2"/>
  <cols>
    <col min="1" max="1" width="27.5" style="4" bestFit="1" customWidth="1"/>
    <col min="2" max="2" width="18.6640625" style="15" customWidth="1"/>
    <col min="3" max="3" width="12.6640625" style="5" customWidth="1"/>
    <col min="4" max="16384" width="8.83203125" style="4"/>
  </cols>
  <sheetData>
    <row r="1" spans="1:3" x14ac:dyDescent="0.2">
      <c r="A1" s="9" t="s">
        <v>243</v>
      </c>
      <c r="B1" s="19" t="s">
        <v>244</v>
      </c>
      <c r="C1" s="10" t="s">
        <v>245</v>
      </c>
    </row>
    <row r="2" spans="1:3" x14ac:dyDescent="0.2">
      <c r="A2" s="30">
        <v>45383</v>
      </c>
      <c r="B2" s="6">
        <v>19029.96</v>
      </c>
      <c r="C2" s="28">
        <v>0</v>
      </c>
    </row>
    <row r="3" spans="1:3" x14ac:dyDescent="0.2">
      <c r="A3" s="30">
        <v>45413</v>
      </c>
      <c r="B3" s="6">
        <v>18507.34</v>
      </c>
      <c r="C3" s="28">
        <v>-2.7463010957458619E-2</v>
      </c>
    </row>
    <row r="4" spans="1:3" x14ac:dyDescent="0.2">
      <c r="A4" s="30">
        <v>45444</v>
      </c>
      <c r="B4" s="6">
        <v>20187.509999999998</v>
      </c>
      <c r="C4" s="28">
        <v>9.0783980842195522E-2</v>
      </c>
    </row>
    <row r="5" spans="1:3" x14ac:dyDescent="0.2">
      <c r="A5" s="30">
        <v>45474</v>
      </c>
      <c r="B5" s="6">
        <v>11609.04</v>
      </c>
      <c r="C5" s="28">
        <v>-0.42493947990614001</v>
      </c>
    </row>
    <row r="6" spans="1:3" x14ac:dyDescent="0.2">
      <c r="A6" s="30">
        <v>45505</v>
      </c>
      <c r="B6" s="6">
        <v>10091.700000000001</v>
      </c>
      <c r="C6" s="28">
        <v>-0.13070331396911361</v>
      </c>
    </row>
    <row r="7" spans="1:3" x14ac:dyDescent="0.2">
      <c r="A7" s="30">
        <v>45536</v>
      </c>
      <c r="B7" s="6">
        <v>20533.5</v>
      </c>
      <c r="C7" s="28">
        <v>1.0346918755016501</v>
      </c>
    </row>
    <row r="8" spans="1:3" x14ac:dyDescent="0.2">
      <c r="A8" s="30">
        <v>45566</v>
      </c>
      <c r="B8" s="6">
        <v>14215.24</v>
      </c>
      <c r="C8" s="28">
        <v>-0.30770496992719221</v>
      </c>
    </row>
    <row r="9" spans="1:3" x14ac:dyDescent="0.2">
      <c r="A9" s="30">
        <v>45597</v>
      </c>
      <c r="B9" s="6">
        <v>20135.03</v>
      </c>
      <c r="C9" s="28">
        <v>0.41643968023051298</v>
      </c>
    </row>
    <row r="10" spans="1:3" x14ac:dyDescent="0.2">
      <c r="A10" s="30">
        <v>45627</v>
      </c>
      <c r="B10" s="6">
        <v>11120.04</v>
      </c>
      <c r="C10" s="28">
        <v>-0.44772667336477773</v>
      </c>
    </row>
    <row r="11" spans="1:3" x14ac:dyDescent="0.2">
      <c r="A11" s="30">
        <v>45658</v>
      </c>
      <c r="B11" s="6">
        <v>14914.65</v>
      </c>
      <c r="C11" s="28">
        <v>0.34124067899036331</v>
      </c>
    </row>
    <row r="12" spans="1:3" x14ac:dyDescent="0.2">
      <c r="A12" s="30">
        <v>45689</v>
      </c>
      <c r="B12" s="6">
        <v>14006.36</v>
      </c>
      <c r="C12" s="28">
        <v>-6.0899183018039323E-2</v>
      </c>
    </row>
    <row r="13" spans="1:3" x14ac:dyDescent="0.2">
      <c r="A13" s="30">
        <v>45717</v>
      </c>
      <c r="B13" s="6">
        <v>17655.22</v>
      </c>
      <c r="C13" s="28">
        <v>0.26051450912299862</v>
      </c>
    </row>
    <row r="14" spans="1:3" x14ac:dyDescent="0.2">
      <c r="A14" s="31">
        <v>45748</v>
      </c>
      <c r="B14" s="22">
        <v>3212.17</v>
      </c>
      <c r="C14" s="29">
        <v>-0.81806117397574196</v>
      </c>
    </row>
  </sheetData>
  <conditionalFormatting sqref="C2:C15">
    <cfRule type="iconSet" priority="1">
      <iconSet iconSet="3Arrows">
        <cfvo type="percent" val="0"/>
        <cfvo type="percent" val="33"/>
        <cfvo type="percent" val="67"/>
      </iconSet>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tabSelected="1" zoomScale="83" workbookViewId="0"/>
  </sheetViews>
  <sheetFormatPr baseColWidth="10" defaultColWidth="8.83203125" defaultRowHeight="19" x14ac:dyDescent="0.2"/>
  <cols>
    <col min="1" max="1" width="16.33203125" style="4" customWidth="1"/>
    <col min="2" max="2" width="19.83203125" style="4" customWidth="1"/>
    <col min="3" max="3" width="10.33203125" style="4" customWidth="1"/>
    <col min="4" max="4" width="21.33203125" style="4" customWidth="1"/>
    <col min="5" max="5" width="9.33203125" style="4" bestFit="1" customWidth="1"/>
    <col min="6" max="7" width="12.33203125" style="4" customWidth="1"/>
    <col min="8" max="8" width="22" style="4" bestFit="1" customWidth="1"/>
    <col min="9" max="9" width="8.83203125" style="4" customWidth="1"/>
    <col min="10" max="10" width="14.33203125" style="4" customWidth="1"/>
    <col min="11" max="16384" width="8.83203125" style="4"/>
  </cols>
  <sheetData>
    <row r="1" spans="1:10" x14ac:dyDescent="0.2">
      <c r="A1" s="3" t="s">
        <v>0</v>
      </c>
      <c r="B1" s="3" t="s">
        <v>1</v>
      </c>
      <c r="C1" s="3" t="s">
        <v>2</v>
      </c>
      <c r="D1" s="3" t="s">
        <v>3</v>
      </c>
      <c r="E1" s="3" t="s">
        <v>4</v>
      </c>
      <c r="F1" s="3" t="s">
        <v>5</v>
      </c>
      <c r="G1" s="3" t="s">
        <v>6</v>
      </c>
      <c r="H1" s="3" t="s">
        <v>7</v>
      </c>
      <c r="I1" s="3" t="s">
        <v>8</v>
      </c>
      <c r="J1" s="3" t="s">
        <v>246</v>
      </c>
    </row>
    <row r="2" spans="1:10" x14ac:dyDescent="0.2">
      <c r="A2" s="4" t="s">
        <v>9</v>
      </c>
      <c r="B2" s="4" t="s">
        <v>39</v>
      </c>
      <c r="C2" s="4" t="s">
        <v>66</v>
      </c>
      <c r="D2" s="4" t="s">
        <v>71</v>
      </c>
      <c r="E2" s="4">
        <v>1036.0899999999999</v>
      </c>
      <c r="F2" s="4">
        <v>4</v>
      </c>
      <c r="G2" s="4">
        <v>0.2</v>
      </c>
      <c r="H2" s="27">
        <v>45392</v>
      </c>
      <c r="I2" s="4">
        <v>331.55</v>
      </c>
      <c r="J2" s="4">
        <f t="shared" ref="J2:J33" ca="1" si="0">NOW()</f>
        <v>45979.17712615741</v>
      </c>
    </row>
    <row r="3" spans="1:10" x14ac:dyDescent="0.2">
      <c r="A3" s="4" t="s">
        <v>10</v>
      </c>
      <c r="B3" s="4" t="s">
        <v>40</v>
      </c>
      <c r="C3" s="4" t="s">
        <v>66</v>
      </c>
      <c r="D3" s="4" t="s">
        <v>72</v>
      </c>
      <c r="E3" s="4">
        <v>1101.28</v>
      </c>
      <c r="F3" s="4">
        <v>3</v>
      </c>
      <c r="G3" s="4">
        <v>0.2</v>
      </c>
      <c r="H3" s="27">
        <v>45393</v>
      </c>
      <c r="I3" s="4">
        <v>440.51</v>
      </c>
      <c r="J3" s="4">
        <f t="shared" ca="1" si="0"/>
        <v>45979.17712615741</v>
      </c>
    </row>
    <row r="4" spans="1:10" x14ac:dyDescent="0.2">
      <c r="A4" s="4" t="s">
        <v>11</v>
      </c>
      <c r="B4" s="4" t="s">
        <v>41</v>
      </c>
      <c r="C4" s="4" t="s">
        <v>67</v>
      </c>
      <c r="D4" s="4" t="s">
        <v>71</v>
      </c>
      <c r="E4" s="4">
        <v>713.34</v>
      </c>
      <c r="F4" s="4">
        <v>17</v>
      </c>
      <c r="G4" s="4">
        <v>0</v>
      </c>
      <c r="H4" s="27">
        <v>45396</v>
      </c>
      <c r="I4" s="4">
        <v>285.33999999999997</v>
      </c>
      <c r="J4" s="4">
        <f t="shared" ca="1" si="0"/>
        <v>45979.17712615741</v>
      </c>
    </row>
    <row r="5" spans="1:10" x14ac:dyDescent="0.2">
      <c r="A5" s="4" t="s">
        <v>12</v>
      </c>
      <c r="B5" s="4" t="s">
        <v>40</v>
      </c>
      <c r="C5" s="4" t="s">
        <v>68</v>
      </c>
      <c r="D5" s="4" t="s">
        <v>73</v>
      </c>
      <c r="E5" s="4">
        <v>760.93</v>
      </c>
      <c r="F5" s="4">
        <v>4</v>
      </c>
      <c r="G5" s="4">
        <v>0.15</v>
      </c>
      <c r="H5" s="27">
        <v>45396</v>
      </c>
      <c r="I5" s="4">
        <v>161.69999999999999</v>
      </c>
      <c r="J5" s="4">
        <f t="shared" ca="1" si="0"/>
        <v>45979.17712615741</v>
      </c>
    </row>
    <row r="6" spans="1:10" x14ac:dyDescent="0.2">
      <c r="A6" s="4" t="s">
        <v>13</v>
      </c>
      <c r="B6" s="4" t="s">
        <v>42</v>
      </c>
      <c r="C6" s="4" t="s">
        <v>69</v>
      </c>
      <c r="D6" s="4" t="s">
        <v>71</v>
      </c>
      <c r="E6" s="4">
        <v>847</v>
      </c>
      <c r="F6" s="4">
        <v>12</v>
      </c>
      <c r="G6" s="4">
        <v>0.2</v>
      </c>
      <c r="H6" s="27">
        <v>45397</v>
      </c>
      <c r="I6" s="4">
        <v>271.04000000000002</v>
      </c>
      <c r="J6" s="4">
        <f t="shared" ca="1" si="0"/>
        <v>45979.17712615741</v>
      </c>
    </row>
    <row r="7" spans="1:10" x14ac:dyDescent="0.2">
      <c r="A7" s="4" t="s">
        <v>14</v>
      </c>
      <c r="B7" s="4" t="s">
        <v>43</v>
      </c>
      <c r="C7" s="4" t="s">
        <v>69</v>
      </c>
      <c r="D7" s="4" t="s">
        <v>74</v>
      </c>
      <c r="E7" s="4">
        <v>965.64</v>
      </c>
      <c r="F7" s="4">
        <v>8</v>
      </c>
      <c r="G7" s="4">
        <v>0.1</v>
      </c>
      <c r="H7" s="27">
        <v>45398</v>
      </c>
      <c r="I7" s="4">
        <v>304.18</v>
      </c>
      <c r="J7" s="4">
        <f t="shared" ca="1" si="0"/>
        <v>45979.17712615741</v>
      </c>
    </row>
    <row r="8" spans="1:10" x14ac:dyDescent="0.2">
      <c r="A8" s="4" t="s">
        <v>15</v>
      </c>
      <c r="B8" s="4" t="s">
        <v>44</v>
      </c>
      <c r="C8" s="4" t="s">
        <v>66</v>
      </c>
      <c r="D8" s="4" t="s">
        <v>73</v>
      </c>
      <c r="E8" s="4">
        <v>1317.53</v>
      </c>
      <c r="F8" s="4">
        <v>12</v>
      </c>
      <c r="G8" s="4">
        <v>0.05</v>
      </c>
      <c r="H8" s="27">
        <v>45398</v>
      </c>
      <c r="I8" s="4">
        <v>312.91000000000003</v>
      </c>
      <c r="J8" s="4">
        <f t="shared" ca="1" si="0"/>
        <v>45979.17712615741</v>
      </c>
    </row>
    <row r="9" spans="1:10" x14ac:dyDescent="0.2">
      <c r="A9" s="4" t="s">
        <v>16</v>
      </c>
      <c r="B9" s="4" t="s">
        <v>45</v>
      </c>
      <c r="C9" s="4" t="s">
        <v>67</v>
      </c>
      <c r="D9" s="4" t="s">
        <v>74</v>
      </c>
      <c r="E9" s="4">
        <v>1074.47</v>
      </c>
      <c r="F9" s="4">
        <v>6</v>
      </c>
      <c r="G9" s="4">
        <v>0.2</v>
      </c>
      <c r="H9" s="27">
        <v>45401</v>
      </c>
      <c r="I9" s="4">
        <v>300.85000000000002</v>
      </c>
      <c r="J9" s="4">
        <f t="shared" ca="1" si="0"/>
        <v>45979.17712615741</v>
      </c>
    </row>
    <row r="10" spans="1:10" x14ac:dyDescent="0.2">
      <c r="A10" s="4" t="s">
        <v>17</v>
      </c>
      <c r="B10" s="4" t="s">
        <v>46</v>
      </c>
      <c r="C10" s="4" t="s">
        <v>70</v>
      </c>
      <c r="D10" s="4" t="s">
        <v>71</v>
      </c>
      <c r="E10" s="4">
        <v>501.54</v>
      </c>
      <c r="F10" s="4">
        <v>11</v>
      </c>
      <c r="G10" s="4">
        <v>0.05</v>
      </c>
      <c r="H10" s="27">
        <v>45401</v>
      </c>
      <c r="I10" s="4">
        <v>190.59</v>
      </c>
      <c r="J10" s="4">
        <f t="shared" ca="1" si="0"/>
        <v>45979.17712615741</v>
      </c>
    </row>
    <row r="11" spans="1:10" x14ac:dyDescent="0.2">
      <c r="A11" s="4" t="s">
        <v>18</v>
      </c>
      <c r="B11" s="4" t="s">
        <v>47</v>
      </c>
      <c r="C11" s="4" t="s">
        <v>70</v>
      </c>
      <c r="D11" s="4" t="s">
        <v>72</v>
      </c>
      <c r="E11" s="4">
        <v>737.31</v>
      </c>
      <c r="F11" s="4">
        <v>2</v>
      </c>
      <c r="G11" s="4">
        <v>0.05</v>
      </c>
      <c r="H11" s="27">
        <v>45401</v>
      </c>
      <c r="I11" s="4">
        <v>350.22</v>
      </c>
      <c r="J11" s="4">
        <f t="shared" ca="1" si="0"/>
        <v>45979.17712615741</v>
      </c>
    </row>
    <row r="12" spans="1:10" x14ac:dyDescent="0.2">
      <c r="A12" s="4" t="s">
        <v>19</v>
      </c>
      <c r="B12" s="4" t="s">
        <v>48</v>
      </c>
      <c r="C12" s="4" t="s">
        <v>66</v>
      </c>
      <c r="D12" s="4" t="s">
        <v>75</v>
      </c>
      <c r="E12" s="4">
        <v>1572.82</v>
      </c>
      <c r="F12" s="4">
        <v>6</v>
      </c>
      <c r="G12" s="4">
        <v>0.05</v>
      </c>
      <c r="H12" s="27">
        <v>45402</v>
      </c>
      <c r="I12" s="4">
        <v>672.38</v>
      </c>
      <c r="J12" s="4">
        <f t="shared" ca="1" si="0"/>
        <v>45979.17712615741</v>
      </c>
    </row>
    <row r="13" spans="1:10" x14ac:dyDescent="0.2">
      <c r="A13" s="4" t="s">
        <v>19</v>
      </c>
      <c r="B13" s="4" t="s">
        <v>47</v>
      </c>
      <c r="C13" s="4" t="s">
        <v>70</v>
      </c>
      <c r="D13" s="4" t="s">
        <v>71</v>
      </c>
      <c r="E13" s="4">
        <v>1343.13</v>
      </c>
      <c r="F13" s="4">
        <v>14</v>
      </c>
      <c r="G13" s="4">
        <v>0.15</v>
      </c>
      <c r="H13" s="27">
        <v>45404</v>
      </c>
      <c r="I13" s="4">
        <v>456.66</v>
      </c>
      <c r="J13" s="4">
        <f t="shared" ca="1" si="0"/>
        <v>45979.17712615741</v>
      </c>
    </row>
    <row r="14" spans="1:10" x14ac:dyDescent="0.2">
      <c r="A14" s="4" t="s">
        <v>14</v>
      </c>
      <c r="B14" s="4" t="s">
        <v>43</v>
      </c>
      <c r="C14" s="4" t="s">
        <v>70</v>
      </c>
      <c r="D14" s="4" t="s">
        <v>71</v>
      </c>
      <c r="E14" s="4">
        <v>1191.58</v>
      </c>
      <c r="F14" s="4">
        <v>14</v>
      </c>
      <c r="G14" s="4">
        <v>0.05</v>
      </c>
      <c r="H14" s="27">
        <v>45406</v>
      </c>
      <c r="I14" s="4">
        <v>452.8</v>
      </c>
      <c r="J14" s="4">
        <f t="shared" ca="1" si="0"/>
        <v>45979.17712615741</v>
      </c>
    </row>
    <row r="15" spans="1:10" x14ac:dyDescent="0.2">
      <c r="A15" s="4" t="s">
        <v>20</v>
      </c>
      <c r="B15" s="4" t="s">
        <v>40</v>
      </c>
      <c r="C15" s="4" t="s">
        <v>66</v>
      </c>
      <c r="D15" s="4" t="s">
        <v>74</v>
      </c>
      <c r="E15" s="4">
        <v>822.28</v>
      </c>
      <c r="F15" s="4">
        <v>7</v>
      </c>
      <c r="G15" s="4">
        <v>0.05</v>
      </c>
      <c r="H15" s="27">
        <v>45406</v>
      </c>
      <c r="I15" s="4">
        <v>273.41000000000003</v>
      </c>
      <c r="J15" s="4">
        <f t="shared" ca="1" si="0"/>
        <v>45979.17712615741</v>
      </c>
    </row>
    <row r="16" spans="1:10" x14ac:dyDescent="0.2">
      <c r="A16" s="4" t="s">
        <v>21</v>
      </c>
      <c r="B16" s="4" t="s">
        <v>49</v>
      </c>
      <c r="C16" s="4" t="s">
        <v>69</v>
      </c>
      <c r="D16" s="4" t="s">
        <v>74</v>
      </c>
      <c r="E16" s="4">
        <v>521.66999999999996</v>
      </c>
      <c r="F16" s="4">
        <v>15</v>
      </c>
      <c r="G16" s="4">
        <v>0.15</v>
      </c>
      <c r="H16" s="27">
        <v>45409</v>
      </c>
      <c r="I16" s="4">
        <v>155.19999999999999</v>
      </c>
      <c r="J16" s="4">
        <f t="shared" ca="1" si="0"/>
        <v>45979.17712615741</v>
      </c>
    </row>
    <row r="17" spans="1:10" x14ac:dyDescent="0.2">
      <c r="A17" s="4" t="s">
        <v>12</v>
      </c>
      <c r="B17" s="4" t="s">
        <v>50</v>
      </c>
      <c r="C17" s="4" t="s">
        <v>68</v>
      </c>
      <c r="D17" s="4" t="s">
        <v>73</v>
      </c>
      <c r="E17" s="4">
        <v>1502.93</v>
      </c>
      <c r="F17" s="4">
        <v>14</v>
      </c>
      <c r="G17" s="4">
        <v>0.2</v>
      </c>
      <c r="H17" s="27">
        <v>45410</v>
      </c>
      <c r="I17" s="4">
        <v>300.58999999999997</v>
      </c>
      <c r="J17" s="4">
        <f t="shared" ca="1" si="0"/>
        <v>45979.17712615741</v>
      </c>
    </row>
    <row r="18" spans="1:10" x14ac:dyDescent="0.2">
      <c r="A18" s="4" t="s">
        <v>22</v>
      </c>
      <c r="B18" s="4" t="s">
        <v>40</v>
      </c>
      <c r="C18" s="4" t="s">
        <v>68</v>
      </c>
      <c r="D18" s="4" t="s">
        <v>71</v>
      </c>
      <c r="E18" s="4">
        <v>877.58</v>
      </c>
      <c r="F18" s="4">
        <v>10</v>
      </c>
      <c r="G18" s="4">
        <v>0.15</v>
      </c>
      <c r="H18" s="27">
        <v>45411</v>
      </c>
      <c r="I18" s="4">
        <v>298.38</v>
      </c>
      <c r="J18" s="4">
        <f t="shared" ca="1" si="0"/>
        <v>45979.17712615741</v>
      </c>
    </row>
    <row r="19" spans="1:10" x14ac:dyDescent="0.2">
      <c r="A19" s="4" t="s">
        <v>15</v>
      </c>
      <c r="B19" s="4" t="s">
        <v>51</v>
      </c>
      <c r="C19" s="4" t="s">
        <v>66</v>
      </c>
      <c r="D19" s="4" t="s">
        <v>71</v>
      </c>
      <c r="E19" s="4">
        <v>636.70000000000005</v>
      </c>
      <c r="F19" s="4">
        <v>4</v>
      </c>
      <c r="G19" s="4">
        <v>0.2</v>
      </c>
      <c r="H19" s="27">
        <v>45411</v>
      </c>
      <c r="I19" s="4">
        <v>203.74</v>
      </c>
      <c r="J19" s="4">
        <f t="shared" ca="1" si="0"/>
        <v>45979.17712615741</v>
      </c>
    </row>
    <row r="20" spans="1:10" x14ac:dyDescent="0.2">
      <c r="A20" s="4" t="s">
        <v>23</v>
      </c>
      <c r="B20" s="4" t="s">
        <v>52</v>
      </c>
      <c r="C20" s="4" t="s">
        <v>66</v>
      </c>
      <c r="D20" s="4" t="s">
        <v>71</v>
      </c>
      <c r="E20" s="4">
        <v>1506.14</v>
      </c>
      <c r="F20" s="4">
        <v>13</v>
      </c>
      <c r="G20" s="4">
        <v>0.2</v>
      </c>
      <c r="H20" s="27">
        <v>45412</v>
      </c>
      <c r="I20" s="4">
        <v>481.96</v>
      </c>
      <c r="J20" s="4">
        <f t="shared" ca="1" si="0"/>
        <v>45979.17712615741</v>
      </c>
    </row>
    <row r="21" spans="1:10" x14ac:dyDescent="0.2">
      <c r="A21" s="4" t="s">
        <v>16</v>
      </c>
      <c r="B21" s="4" t="s">
        <v>45</v>
      </c>
      <c r="C21" s="4" t="s">
        <v>70</v>
      </c>
      <c r="D21" s="4" t="s">
        <v>73</v>
      </c>
      <c r="E21" s="4">
        <v>645.02</v>
      </c>
      <c r="F21" s="4">
        <v>4</v>
      </c>
      <c r="G21" s="4">
        <v>0</v>
      </c>
      <c r="H21" s="27">
        <v>45414</v>
      </c>
      <c r="I21" s="4">
        <v>161.26</v>
      </c>
      <c r="J21" s="4">
        <f t="shared" ca="1" si="0"/>
        <v>45979.17712615741</v>
      </c>
    </row>
    <row r="22" spans="1:10" x14ac:dyDescent="0.2">
      <c r="A22" s="4" t="s">
        <v>14</v>
      </c>
      <c r="B22" s="4" t="s">
        <v>53</v>
      </c>
      <c r="C22" s="4" t="s">
        <v>68</v>
      </c>
      <c r="D22" s="4" t="s">
        <v>72</v>
      </c>
      <c r="E22" s="4">
        <v>953.3</v>
      </c>
      <c r="F22" s="4">
        <v>11</v>
      </c>
      <c r="G22" s="4">
        <v>0</v>
      </c>
      <c r="H22" s="27">
        <v>45415</v>
      </c>
      <c r="I22" s="4">
        <v>476.65</v>
      </c>
      <c r="J22" s="4">
        <f t="shared" ca="1" si="0"/>
        <v>45979.17712615741</v>
      </c>
    </row>
    <row r="23" spans="1:10" x14ac:dyDescent="0.2">
      <c r="A23" s="4" t="s">
        <v>24</v>
      </c>
      <c r="B23" s="4" t="s">
        <v>40</v>
      </c>
      <c r="C23" s="4" t="s">
        <v>69</v>
      </c>
      <c r="D23" s="4" t="s">
        <v>73</v>
      </c>
      <c r="E23" s="4">
        <v>388.56</v>
      </c>
      <c r="F23" s="4">
        <v>14</v>
      </c>
      <c r="G23" s="4">
        <v>0.15</v>
      </c>
      <c r="H23" s="27">
        <v>45416</v>
      </c>
      <c r="I23" s="4">
        <v>82.57</v>
      </c>
      <c r="J23" s="4">
        <f t="shared" ca="1" si="0"/>
        <v>45979.17712615741</v>
      </c>
    </row>
    <row r="24" spans="1:10" x14ac:dyDescent="0.2">
      <c r="A24" s="4" t="s">
        <v>9</v>
      </c>
      <c r="B24" s="4" t="s">
        <v>45</v>
      </c>
      <c r="C24" s="4" t="s">
        <v>66</v>
      </c>
      <c r="D24" s="4" t="s">
        <v>71</v>
      </c>
      <c r="E24" s="4">
        <v>743.17</v>
      </c>
      <c r="F24" s="4">
        <v>9</v>
      </c>
      <c r="G24" s="4">
        <v>0</v>
      </c>
      <c r="H24" s="27">
        <v>45416</v>
      </c>
      <c r="I24" s="4">
        <v>297.27</v>
      </c>
      <c r="J24" s="4">
        <f t="shared" ca="1" si="0"/>
        <v>45979.17712615741</v>
      </c>
    </row>
    <row r="25" spans="1:10" x14ac:dyDescent="0.2">
      <c r="A25" s="4" t="s">
        <v>20</v>
      </c>
      <c r="B25" s="4" t="s">
        <v>45</v>
      </c>
      <c r="C25" s="4" t="s">
        <v>70</v>
      </c>
      <c r="D25" s="4" t="s">
        <v>73</v>
      </c>
      <c r="E25" s="4">
        <v>706.37</v>
      </c>
      <c r="F25" s="4">
        <v>6</v>
      </c>
      <c r="G25" s="4">
        <v>0</v>
      </c>
      <c r="H25" s="27">
        <v>45416</v>
      </c>
      <c r="I25" s="4">
        <v>176.59</v>
      </c>
      <c r="J25" s="4">
        <f t="shared" ca="1" si="0"/>
        <v>45979.17712615741</v>
      </c>
    </row>
    <row r="26" spans="1:10" x14ac:dyDescent="0.2">
      <c r="A26" s="4" t="s">
        <v>10</v>
      </c>
      <c r="B26" s="4" t="s">
        <v>45</v>
      </c>
      <c r="C26" s="4" t="s">
        <v>70</v>
      </c>
      <c r="D26" s="4" t="s">
        <v>75</v>
      </c>
      <c r="E26" s="4">
        <v>925.31</v>
      </c>
      <c r="F26" s="4">
        <v>8</v>
      </c>
      <c r="G26" s="4">
        <v>0.1</v>
      </c>
      <c r="H26" s="27">
        <v>45418</v>
      </c>
      <c r="I26" s="4">
        <v>374.75</v>
      </c>
      <c r="J26" s="4">
        <f t="shared" ca="1" si="0"/>
        <v>45979.17712615741</v>
      </c>
    </row>
    <row r="27" spans="1:10" x14ac:dyDescent="0.2">
      <c r="A27" s="4" t="s">
        <v>18</v>
      </c>
      <c r="B27" s="4" t="s">
        <v>54</v>
      </c>
      <c r="C27" s="4" t="s">
        <v>68</v>
      </c>
      <c r="D27" s="4" t="s">
        <v>73</v>
      </c>
      <c r="E27" s="4">
        <v>1173.1199999999999</v>
      </c>
      <c r="F27" s="4">
        <v>18</v>
      </c>
      <c r="G27" s="4">
        <v>0</v>
      </c>
      <c r="H27" s="27">
        <v>45418</v>
      </c>
      <c r="I27" s="4">
        <v>293.27999999999997</v>
      </c>
      <c r="J27" s="4">
        <f t="shared" ca="1" si="0"/>
        <v>45979.17712615741</v>
      </c>
    </row>
    <row r="28" spans="1:10" x14ac:dyDescent="0.2">
      <c r="A28" s="4" t="s">
        <v>13</v>
      </c>
      <c r="B28" s="4" t="s">
        <v>55</v>
      </c>
      <c r="C28" s="4" t="s">
        <v>69</v>
      </c>
      <c r="D28" s="4" t="s">
        <v>74</v>
      </c>
      <c r="E28" s="4">
        <v>675.54</v>
      </c>
      <c r="F28" s="4">
        <v>17</v>
      </c>
      <c r="G28" s="4">
        <v>0</v>
      </c>
      <c r="H28" s="27">
        <v>45420</v>
      </c>
      <c r="I28" s="4">
        <v>236.44</v>
      </c>
      <c r="J28" s="4">
        <f t="shared" ca="1" si="0"/>
        <v>45979.17712615741</v>
      </c>
    </row>
    <row r="29" spans="1:10" x14ac:dyDescent="0.2">
      <c r="A29" s="4" t="s">
        <v>14</v>
      </c>
      <c r="B29" s="4" t="s">
        <v>40</v>
      </c>
      <c r="C29" s="4" t="s">
        <v>70</v>
      </c>
      <c r="D29" s="4" t="s">
        <v>71</v>
      </c>
      <c r="E29" s="4">
        <v>939.09</v>
      </c>
      <c r="F29" s="4">
        <v>2</v>
      </c>
      <c r="G29" s="4">
        <v>0.05</v>
      </c>
      <c r="H29" s="27">
        <v>45422</v>
      </c>
      <c r="I29" s="4">
        <v>356.85</v>
      </c>
      <c r="J29" s="4">
        <f t="shared" ca="1" si="0"/>
        <v>45979.17712615741</v>
      </c>
    </row>
    <row r="30" spans="1:10" x14ac:dyDescent="0.2">
      <c r="A30" s="4" t="s">
        <v>25</v>
      </c>
      <c r="B30" s="4" t="s">
        <v>56</v>
      </c>
      <c r="C30" s="4" t="s">
        <v>67</v>
      </c>
      <c r="D30" s="4" t="s">
        <v>75</v>
      </c>
      <c r="E30" s="4">
        <v>983.34</v>
      </c>
      <c r="F30" s="4">
        <v>19</v>
      </c>
      <c r="G30" s="4">
        <v>0.1</v>
      </c>
      <c r="H30" s="27">
        <v>45426</v>
      </c>
      <c r="I30" s="4">
        <v>398.25</v>
      </c>
      <c r="J30" s="4">
        <f t="shared" ca="1" si="0"/>
        <v>45979.17712615741</v>
      </c>
    </row>
    <row r="31" spans="1:10" x14ac:dyDescent="0.2">
      <c r="A31" s="4" t="s">
        <v>25</v>
      </c>
      <c r="B31" s="4" t="s">
        <v>42</v>
      </c>
      <c r="C31" s="4" t="s">
        <v>68</v>
      </c>
      <c r="D31" s="4" t="s">
        <v>73</v>
      </c>
      <c r="E31" s="4">
        <v>801.21</v>
      </c>
      <c r="F31" s="4">
        <v>3</v>
      </c>
      <c r="G31" s="4">
        <v>0.2</v>
      </c>
      <c r="H31" s="27">
        <v>45426</v>
      </c>
      <c r="I31" s="4">
        <v>160.24</v>
      </c>
      <c r="J31" s="4">
        <f t="shared" ca="1" si="0"/>
        <v>45979.17712615741</v>
      </c>
    </row>
    <row r="32" spans="1:10" x14ac:dyDescent="0.2">
      <c r="A32" s="4" t="s">
        <v>26</v>
      </c>
      <c r="B32" s="4" t="s">
        <v>57</v>
      </c>
      <c r="C32" s="4" t="s">
        <v>69</v>
      </c>
      <c r="D32" s="4" t="s">
        <v>73</v>
      </c>
      <c r="E32" s="4">
        <v>1450.71</v>
      </c>
      <c r="F32" s="4">
        <v>5</v>
      </c>
      <c r="G32" s="4">
        <v>0.1</v>
      </c>
      <c r="H32" s="27">
        <v>45427</v>
      </c>
      <c r="I32" s="4">
        <v>326.41000000000003</v>
      </c>
      <c r="J32" s="4">
        <f t="shared" ca="1" si="0"/>
        <v>45979.17712615741</v>
      </c>
    </row>
    <row r="33" spans="1:10" x14ac:dyDescent="0.2">
      <c r="A33" s="4" t="s">
        <v>24</v>
      </c>
      <c r="B33" s="4" t="s">
        <v>58</v>
      </c>
      <c r="C33" s="4" t="s">
        <v>70</v>
      </c>
      <c r="D33" s="4" t="s">
        <v>71</v>
      </c>
      <c r="E33" s="4">
        <v>1023.21</v>
      </c>
      <c r="F33" s="4">
        <v>18</v>
      </c>
      <c r="G33" s="4">
        <v>0.05</v>
      </c>
      <c r="H33" s="27">
        <v>45428</v>
      </c>
      <c r="I33" s="4">
        <v>388.82</v>
      </c>
      <c r="J33" s="4">
        <f t="shared" ca="1" si="0"/>
        <v>45979.17712615741</v>
      </c>
    </row>
    <row r="34" spans="1:10" x14ac:dyDescent="0.2">
      <c r="A34" s="4" t="s">
        <v>15</v>
      </c>
      <c r="B34" s="4" t="s">
        <v>52</v>
      </c>
      <c r="C34" s="4" t="s">
        <v>66</v>
      </c>
      <c r="D34" s="4" t="s">
        <v>74</v>
      </c>
      <c r="E34" s="4">
        <v>853.72</v>
      </c>
      <c r="F34" s="4">
        <v>5</v>
      </c>
      <c r="G34" s="4">
        <v>0.15</v>
      </c>
      <c r="H34" s="27">
        <v>45428</v>
      </c>
      <c r="I34" s="4">
        <v>253.98</v>
      </c>
      <c r="J34" s="4">
        <f t="shared" ref="J34:J65" ca="1" si="1">NOW()</f>
        <v>45979.17712615741</v>
      </c>
    </row>
    <row r="35" spans="1:10" x14ac:dyDescent="0.2">
      <c r="A35" s="4" t="s">
        <v>27</v>
      </c>
      <c r="B35" s="4" t="s">
        <v>50</v>
      </c>
      <c r="C35" s="4" t="s">
        <v>68</v>
      </c>
      <c r="D35" s="4" t="s">
        <v>73</v>
      </c>
      <c r="E35" s="4">
        <v>967.89</v>
      </c>
      <c r="F35" s="4">
        <v>10</v>
      </c>
      <c r="G35" s="4">
        <v>0.1</v>
      </c>
      <c r="H35" s="27">
        <v>45429</v>
      </c>
      <c r="I35" s="4">
        <v>217.78</v>
      </c>
      <c r="J35" s="4">
        <f t="shared" ca="1" si="1"/>
        <v>45979.17712615741</v>
      </c>
    </row>
    <row r="36" spans="1:10" x14ac:dyDescent="0.2">
      <c r="A36" s="4" t="s">
        <v>28</v>
      </c>
      <c r="B36" s="4" t="s">
        <v>56</v>
      </c>
      <c r="C36" s="4" t="s">
        <v>69</v>
      </c>
      <c r="D36" s="4" t="s">
        <v>75</v>
      </c>
      <c r="E36" s="4">
        <v>1200.9000000000001</v>
      </c>
      <c r="F36" s="4">
        <v>14</v>
      </c>
      <c r="G36" s="4">
        <v>0.05</v>
      </c>
      <c r="H36" s="27">
        <v>45429</v>
      </c>
      <c r="I36" s="4">
        <v>513.38</v>
      </c>
      <c r="J36" s="4">
        <f t="shared" ca="1" si="1"/>
        <v>45979.17712615741</v>
      </c>
    </row>
    <row r="37" spans="1:10" x14ac:dyDescent="0.2">
      <c r="A37" s="4" t="s">
        <v>10</v>
      </c>
      <c r="B37" s="4" t="s">
        <v>43</v>
      </c>
      <c r="C37" s="4" t="s">
        <v>66</v>
      </c>
      <c r="D37" s="4" t="s">
        <v>71</v>
      </c>
      <c r="E37" s="4">
        <v>472.38</v>
      </c>
      <c r="F37" s="4">
        <v>12</v>
      </c>
      <c r="G37" s="4">
        <v>0.2</v>
      </c>
      <c r="H37" s="27">
        <v>45429</v>
      </c>
      <c r="I37" s="4">
        <v>151.16</v>
      </c>
      <c r="J37" s="4">
        <f t="shared" ca="1" si="1"/>
        <v>45979.17712615741</v>
      </c>
    </row>
    <row r="38" spans="1:10" x14ac:dyDescent="0.2">
      <c r="A38" s="4" t="s">
        <v>9</v>
      </c>
      <c r="B38" s="4" t="s">
        <v>57</v>
      </c>
      <c r="C38" s="4" t="s">
        <v>67</v>
      </c>
      <c r="D38" s="4" t="s">
        <v>75</v>
      </c>
      <c r="E38" s="4">
        <v>840.92</v>
      </c>
      <c r="F38" s="4">
        <v>9</v>
      </c>
      <c r="G38" s="4">
        <v>0.05</v>
      </c>
      <c r="H38" s="27">
        <v>45429</v>
      </c>
      <c r="I38" s="4">
        <v>359.49</v>
      </c>
      <c r="J38" s="4">
        <f t="shared" ca="1" si="1"/>
        <v>45979.17712615741</v>
      </c>
    </row>
    <row r="39" spans="1:10" x14ac:dyDescent="0.2">
      <c r="A39" s="4" t="s">
        <v>25</v>
      </c>
      <c r="B39" s="4" t="s">
        <v>53</v>
      </c>
      <c r="C39" s="4" t="s">
        <v>70</v>
      </c>
      <c r="D39" s="4" t="s">
        <v>74</v>
      </c>
      <c r="E39" s="4">
        <v>1410.06</v>
      </c>
      <c r="F39" s="4">
        <v>11</v>
      </c>
      <c r="G39" s="4">
        <v>0.05</v>
      </c>
      <c r="H39" s="27">
        <v>45434</v>
      </c>
      <c r="I39" s="4">
        <v>468.84</v>
      </c>
      <c r="J39" s="4">
        <f t="shared" ca="1" si="1"/>
        <v>45979.17712615741</v>
      </c>
    </row>
    <row r="40" spans="1:10" x14ac:dyDescent="0.2">
      <c r="A40" s="4" t="s">
        <v>22</v>
      </c>
      <c r="B40" s="4" t="s">
        <v>59</v>
      </c>
      <c r="C40" s="4" t="s">
        <v>70</v>
      </c>
      <c r="D40" s="4" t="s">
        <v>74</v>
      </c>
      <c r="E40" s="4">
        <v>773.09</v>
      </c>
      <c r="F40" s="4">
        <v>13</v>
      </c>
      <c r="G40" s="4">
        <v>0.15</v>
      </c>
      <c r="H40" s="27">
        <v>45434</v>
      </c>
      <c r="I40" s="4">
        <v>229.99</v>
      </c>
      <c r="J40" s="4">
        <f t="shared" ca="1" si="1"/>
        <v>45979.17712615741</v>
      </c>
    </row>
    <row r="41" spans="1:10" x14ac:dyDescent="0.2">
      <c r="A41" s="4" t="s">
        <v>29</v>
      </c>
      <c r="B41" s="4" t="s">
        <v>60</v>
      </c>
      <c r="C41" s="4" t="s">
        <v>67</v>
      </c>
      <c r="D41" s="4" t="s">
        <v>71</v>
      </c>
      <c r="E41" s="4">
        <v>580.42999999999995</v>
      </c>
      <c r="F41" s="4">
        <v>19</v>
      </c>
      <c r="G41" s="4">
        <v>0.15</v>
      </c>
      <c r="H41" s="27">
        <v>45435</v>
      </c>
      <c r="I41" s="4">
        <v>197.35</v>
      </c>
      <c r="J41" s="4">
        <f t="shared" ca="1" si="1"/>
        <v>45979.17712615741</v>
      </c>
    </row>
    <row r="42" spans="1:10" x14ac:dyDescent="0.2">
      <c r="A42" s="4" t="s">
        <v>12</v>
      </c>
      <c r="B42" s="4" t="s">
        <v>49</v>
      </c>
      <c r="C42" s="4" t="s">
        <v>68</v>
      </c>
      <c r="D42" s="4" t="s">
        <v>71</v>
      </c>
      <c r="E42" s="4">
        <v>1151.21</v>
      </c>
      <c r="F42" s="4">
        <v>15</v>
      </c>
      <c r="G42" s="4">
        <v>0.1</v>
      </c>
      <c r="H42" s="27">
        <v>45445</v>
      </c>
      <c r="I42" s="4">
        <v>414.44</v>
      </c>
      <c r="J42" s="4">
        <f t="shared" ca="1" si="1"/>
        <v>45979.17712615741</v>
      </c>
    </row>
    <row r="43" spans="1:10" x14ac:dyDescent="0.2">
      <c r="A43" s="4" t="s">
        <v>25</v>
      </c>
      <c r="B43" s="4" t="s">
        <v>42</v>
      </c>
      <c r="C43" s="4" t="s">
        <v>70</v>
      </c>
      <c r="D43" s="4" t="s">
        <v>75</v>
      </c>
      <c r="E43" s="4">
        <v>1025.98</v>
      </c>
      <c r="F43" s="4">
        <v>5</v>
      </c>
      <c r="G43" s="4">
        <v>0.2</v>
      </c>
      <c r="H43" s="27">
        <v>45447</v>
      </c>
      <c r="I43" s="4">
        <v>369.35</v>
      </c>
      <c r="J43" s="4">
        <f t="shared" ca="1" si="1"/>
        <v>45979.17712615741</v>
      </c>
    </row>
    <row r="44" spans="1:10" x14ac:dyDescent="0.2">
      <c r="A44" s="4" t="s">
        <v>20</v>
      </c>
      <c r="B44" s="4" t="s">
        <v>58</v>
      </c>
      <c r="C44" s="4" t="s">
        <v>67</v>
      </c>
      <c r="D44" s="4" t="s">
        <v>75</v>
      </c>
      <c r="E44" s="4">
        <v>556.41999999999996</v>
      </c>
      <c r="F44" s="4">
        <v>11</v>
      </c>
      <c r="G44" s="4">
        <v>0.15</v>
      </c>
      <c r="H44" s="27">
        <v>45447</v>
      </c>
      <c r="I44" s="4">
        <v>212.83</v>
      </c>
      <c r="J44" s="4">
        <f t="shared" ca="1" si="1"/>
        <v>45979.17712615741</v>
      </c>
    </row>
    <row r="45" spans="1:10" x14ac:dyDescent="0.2">
      <c r="A45" s="4" t="s">
        <v>27</v>
      </c>
      <c r="B45" s="4" t="s">
        <v>42</v>
      </c>
      <c r="C45" s="4" t="s">
        <v>70</v>
      </c>
      <c r="D45" s="4" t="s">
        <v>71</v>
      </c>
      <c r="E45" s="4">
        <v>840.85</v>
      </c>
      <c r="F45" s="4">
        <v>19</v>
      </c>
      <c r="G45" s="4">
        <v>0.1</v>
      </c>
      <c r="H45" s="27">
        <v>45448</v>
      </c>
      <c r="I45" s="4">
        <v>302.70999999999998</v>
      </c>
      <c r="J45" s="4">
        <f t="shared" ca="1" si="1"/>
        <v>45979.17712615741</v>
      </c>
    </row>
    <row r="46" spans="1:10" x14ac:dyDescent="0.2">
      <c r="A46" s="4" t="s">
        <v>16</v>
      </c>
      <c r="B46" s="4" t="s">
        <v>60</v>
      </c>
      <c r="C46" s="4" t="s">
        <v>69</v>
      </c>
      <c r="D46" s="4" t="s">
        <v>74</v>
      </c>
      <c r="E46" s="4">
        <v>1227.25</v>
      </c>
      <c r="F46" s="4">
        <v>12</v>
      </c>
      <c r="G46" s="4">
        <v>0.15</v>
      </c>
      <c r="H46" s="27">
        <v>45448</v>
      </c>
      <c r="I46" s="4">
        <v>365.11</v>
      </c>
      <c r="J46" s="4">
        <f t="shared" ca="1" si="1"/>
        <v>45979.17712615741</v>
      </c>
    </row>
    <row r="47" spans="1:10" x14ac:dyDescent="0.2">
      <c r="A47" s="4" t="s">
        <v>11</v>
      </c>
      <c r="B47" s="4" t="s">
        <v>61</v>
      </c>
      <c r="C47" s="4" t="s">
        <v>70</v>
      </c>
      <c r="D47" s="4" t="s">
        <v>73</v>
      </c>
      <c r="E47" s="4">
        <v>856.7</v>
      </c>
      <c r="F47" s="4">
        <v>2</v>
      </c>
      <c r="G47" s="4">
        <v>0</v>
      </c>
      <c r="H47" s="27">
        <v>45449</v>
      </c>
      <c r="I47" s="4">
        <v>214.18</v>
      </c>
      <c r="J47" s="4">
        <f t="shared" ca="1" si="1"/>
        <v>45979.17712615741</v>
      </c>
    </row>
    <row r="48" spans="1:10" x14ac:dyDescent="0.2">
      <c r="A48" s="4" t="s">
        <v>26</v>
      </c>
      <c r="B48" s="4" t="s">
        <v>58</v>
      </c>
      <c r="C48" s="4" t="s">
        <v>70</v>
      </c>
      <c r="D48" s="4" t="s">
        <v>75</v>
      </c>
      <c r="E48" s="4">
        <v>1225.42</v>
      </c>
      <c r="F48" s="4">
        <v>8</v>
      </c>
      <c r="G48" s="4">
        <v>0.15</v>
      </c>
      <c r="H48" s="27">
        <v>45449</v>
      </c>
      <c r="I48" s="4">
        <v>468.72</v>
      </c>
      <c r="J48" s="4">
        <f t="shared" ca="1" si="1"/>
        <v>45979.17712615741</v>
      </c>
    </row>
    <row r="49" spans="1:10" x14ac:dyDescent="0.2">
      <c r="A49" s="4" t="s">
        <v>30</v>
      </c>
      <c r="B49" s="4" t="s">
        <v>45</v>
      </c>
      <c r="C49" s="4" t="s">
        <v>69</v>
      </c>
      <c r="D49" s="4" t="s">
        <v>75</v>
      </c>
      <c r="E49" s="4">
        <v>1001.57</v>
      </c>
      <c r="F49" s="4">
        <v>12</v>
      </c>
      <c r="G49" s="4">
        <v>0</v>
      </c>
      <c r="H49" s="27">
        <v>45450</v>
      </c>
      <c r="I49" s="4">
        <v>450.71</v>
      </c>
      <c r="J49" s="4">
        <f t="shared" ca="1" si="1"/>
        <v>45979.17712615741</v>
      </c>
    </row>
    <row r="50" spans="1:10" x14ac:dyDescent="0.2">
      <c r="A50" s="4" t="s">
        <v>27</v>
      </c>
      <c r="B50" s="4" t="s">
        <v>43</v>
      </c>
      <c r="C50" s="4" t="s">
        <v>67</v>
      </c>
      <c r="D50" s="4" t="s">
        <v>74</v>
      </c>
      <c r="E50" s="4">
        <v>1186.8499999999999</v>
      </c>
      <c r="F50" s="4">
        <v>19</v>
      </c>
      <c r="G50" s="4">
        <v>0.2</v>
      </c>
      <c r="H50" s="27">
        <v>45451</v>
      </c>
      <c r="I50" s="4">
        <v>332.32</v>
      </c>
      <c r="J50" s="4">
        <f t="shared" ca="1" si="1"/>
        <v>45979.17712615741</v>
      </c>
    </row>
    <row r="51" spans="1:10" x14ac:dyDescent="0.2">
      <c r="A51" s="4" t="s">
        <v>22</v>
      </c>
      <c r="B51" s="4" t="s">
        <v>55</v>
      </c>
      <c r="C51" s="4" t="s">
        <v>68</v>
      </c>
      <c r="D51" s="4" t="s">
        <v>73</v>
      </c>
      <c r="E51" s="4">
        <v>775.45</v>
      </c>
      <c r="F51" s="4">
        <v>6</v>
      </c>
      <c r="G51" s="4">
        <v>0.1</v>
      </c>
      <c r="H51" s="27">
        <v>45457</v>
      </c>
      <c r="I51" s="4">
        <v>174.48</v>
      </c>
      <c r="J51" s="4">
        <f t="shared" ca="1" si="1"/>
        <v>45979.17712615741</v>
      </c>
    </row>
    <row r="52" spans="1:10" x14ac:dyDescent="0.2">
      <c r="A52" s="4" t="s">
        <v>14</v>
      </c>
      <c r="B52" s="4" t="s">
        <v>46</v>
      </c>
      <c r="C52" s="4" t="s">
        <v>68</v>
      </c>
      <c r="D52" s="4" t="s">
        <v>73</v>
      </c>
      <c r="E52" s="4">
        <v>1021.47</v>
      </c>
      <c r="F52" s="4">
        <v>6</v>
      </c>
      <c r="G52" s="4">
        <v>0.05</v>
      </c>
      <c r="H52" s="27">
        <v>45461</v>
      </c>
      <c r="I52" s="4">
        <v>242.6</v>
      </c>
      <c r="J52" s="4">
        <f t="shared" ca="1" si="1"/>
        <v>45979.17712615741</v>
      </c>
    </row>
    <row r="53" spans="1:10" x14ac:dyDescent="0.2">
      <c r="A53" s="4" t="s">
        <v>28</v>
      </c>
      <c r="B53" s="4" t="s">
        <v>42</v>
      </c>
      <c r="C53" s="4" t="s">
        <v>68</v>
      </c>
      <c r="D53" s="4" t="s">
        <v>72</v>
      </c>
      <c r="E53" s="4">
        <v>1226.6199999999999</v>
      </c>
      <c r="F53" s="4">
        <v>7</v>
      </c>
      <c r="G53" s="4">
        <v>0.1</v>
      </c>
      <c r="H53" s="27">
        <v>45463</v>
      </c>
      <c r="I53" s="4">
        <v>551.98</v>
      </c>
      <c r="J53" s="4">
        <f t="shared" ca="1" si="1"/>
        <v>45979.17712615741</v>
      </c>
    </row>
    <row r="54" spans="1:10" x14ac:dyDescent="0.2">
      <c r="A54" s="4" t="s">
        <v>13</v>
      </c>
      <c r="B54" s="4" t="s">
        <v>62</v>
      </c>
      <c r="C54" s="4" t="s">
        <v>68</v>
      </c>
      <c r="D54" s="4" t="s">
        <v>74</v>
      </c>
      <c r="E54" s="4">
        <v>1086.93</v>
      </c>
      <c r="F54" s="4">
        <v>2</v>
      </c>
      <c r="G54" s="4">
        <v>0</v>
      </c>
      <c r="H54" s="27">
        <v>45464</v>
      </c>
      <c r="I54" s="4">
        <v>380.43</v>
      </c>
      <c r="J54" s="4">
        <f t="shared" ca="1" si="1"/>
        <v>45979.17712615741</v>
      </c>
    </row>
    <row r="55" spans="1:10" x14ac:dyDescent="0.2">
      <c r="A55" s="4" t="s">
        <v>31</v>
      </c>
      <c r="B55" s="4" t="s">
        <v>53</v>
      </c>
      <c r="C55" s="4" t="s">
        <v>66</v>
      </c>
      <c r="D55" s="4" t="s">
        <v>71</v>
      </c>
      <c r="E55" s="4">
        <v>942.9</v>
      </c>
      <c r="F55" s="4">
        <v>18</v>
      </c>
      <c r="G55" s="4">
        <v>0.1</v>
      </c>
      <c r="H55" s="27">
        <v>45466</v>
      </c>
      <c r="I55" s="4">
        <v>339.44</v>
      </c>
      <c r="J55" s="4">
        <f t="shared" ca="1" si="1"/>
        <v>45979.17712615741</v>
      </c>
    </row>
    <row r="56" spans="1:10" x14ac:dyDescent="0.2">
      <c r="A56" s="4" t="s">
        <v>17</v>
      </c>
      <c r="B56" s="4" t="s">
        <v>48</v>
      </c>
      <c r="C56" s="4" t="s">
        <v>69</v>
      </c>
      <c r="D56" s="4" t="s">
        <v>73</v>
      </c>
      <c r="E56" s="4">
        <v>818.8</v>
      </c>
      <c r="F56" s="4">
        <v>15</v>
      </c>
      <c r="G56" s="4">
        <v>0.15</v>
      </c>
      <c r="H56" s="27">
        <v>45468</v>
      </c>
      <c r="I56" s="4">
        <v>173.99</v>
      </c>
      <c r="J56" s="4">
        <f t="shared" ca="1" si="1"/>
        <v>45979.17712615741</v>
      </c>
    </row>
    <row r="57" spans="1:10" x14ac:dyDescent="0.2">
      <c r="A57" s="4" t="s">
        <v>12</v>
      </c>
      <c r="B57" s="4" t="s">
        <v>40</v>
      </c>
      <c r="C57" s="4" t="s">
        <v>68</v>
      </c>
      <c r="D57" s="4" t="s">
        <v>74</v>
      </c>
      <c r="E57" s="4">
        <v>919.04</v>
      </c>
      <c r="F57" s="4">
        <v>10</v>
      </c>
      <c r="G57" s="4">
        <v>0.2</v>
      </c>
      <c r="H57" s="27">
        <v>45468</v>
      </c>
      <c r="I57" s="4">
        <v>257.33</v>
      </c>
      <c r="J57" s="4">
        <f t="shared" ca="1" si="1"/>
        <v>45979.17712615741</v>
      </c>
    </row>
    <row r="58" spans="1:10" x14ac:dyDescent="0.2">
      <c r="A58" s="4" t="s">
        <v>13</v>
      </c>
      <c r="B58" s="4" t="s">
        <v>63</v>
      </c>
      <c r="C58" s="4" t="s">
        <v>70</v>
      </c>
      <c r="D58" s="4" t="s">
        <v>71</v>
      </c>
      <c r="E58" s="4">
        <v>973.26</v>
      </c>
      <c r="F58" s="4">
        <v>11</v>
      </c>
      <c r="G58" s="4">
        <v>0</v>
      </c>
      <c r="H58" s="27">
        <v>45470</v>
      </c>
      <c r="I58" s="4">
        <v>389.3</v>
      </c>
      <c r="J58" s="4">
        <f t="shared" ca="1" si="1"/>
        <v>45979.17712615741</v>
      </c>
    </row>
    <row r="59" spans="1:10" x14ac:dyDescent="0.2">
      <c r="A59" s="4" t="s">
        <v>21</v>
      </c>
      <c r="B59" s="4" t="s">
        <v>62</v>
      </c>
      <c r="C59" s="4" t="s">
        <v>69</v>
      </c>
      <c r="D59" s="4" t="s">
        <v>73</v>
      </c>
      <c r="E59" s="4">
        <v>741.61</v>
      </c>
      <c r="F59" s="4">
        <v>1</v>
      </c>
      <c r="G59" s="4">
        <v>0.2</v>
      </c>
      <c r="H59" s="27">
        <v>45471</v>
      </c>
      <c r="I59" s="4">
        <v>148.32</v>
      </c>
      <c r="J59" s="4">
        <f t="shared" ca="1" si="1"/>
        <v>45979.17712615741</v>
      </c>
    </row>
    <row r="60" spans="1:10" x14ac:dyDescent="0.2">
      <c r="A60" s="4" t="s">
        <v>32</v>
      </c>
      <c r="B60" s="4" t="s">
        <v>48</v>
      </c>
      <c r="C60" s="4" t="s">
        <v>69</v>
      </c>
      <c r="D60" s="4" t="s">
        <v>71</v>
      </c>
      <c r="E60" s="4">
        <v>1248.82</v>
      </c>
      <c r="F60" s="4">
        <v>2</v>
      </c>
      <c r="G60" s="4">
        <v>0.1</v>
      </c>
      <c r="H60" s="27">
        <v>45473</v>
      </c>
      <c r="I60" s="4">
        <v>449.58</v>
      </c>
      <c r="J60" s="4">
        <f t="shared" ca="1" si="1"/>
        <v>45979.17712615741</v>
      </c>
    </row>
    <row r="61" spans="1:10" x14ac:dyDescent="0.2">
      <c r="A61" s="4" t="s">
        <v>10</v>
      </c>
      <c r="B61" s="4" t="s">
        <v>59</v>
      </c>
      <c r="C61" s="4" t="s">
        <v>66</v>
      </c>
      <c r="D61" s="4" t="s">
        <v>72</v>
      </c>
      <c r="E61" s="4">
        <v>1360.36</v>
      </c>
      <c r="F61" s="4">
        <v>17</v>
      </c>
      <c r="G61" s="4">
        <v>0</v>
      </c>
      <c r="H61" s="27">
        <v>45473</v>
      </c>
      <c r="I61" s="4">
        <v>680.18</v>
      </c>
      <c r="J61" s="4">
        <f t="shared" ca="1" si="1"/>
        <v>45979.17712615741</v>
      </c>
    </row>
    <row r="62" spans="1:10" x14ac:dyDescent="0.2">
      <c r="A62" s="4" t="s">
        <v>27</v>
      </c>
      <c r="B62" s="4" t="s">
        <v>45</v>
      </c>
      <c r="C62" s="4" t="s">
        <v>67</v>
      </c>
      <c r="D62" s="4" t="s">
        <v>71</v>
      </c>
      <c r="E62" s="4">
        <v>1383.3</v>
      </c>
      <c r="F62" s="4">
        <v>8</v>
      </c>
      <c r="G62" s="4">
        <v>0.1</v>
      </c>
      <c r="H62" s="27">
        <v>45478</v>
      </c>
      <c r="I62" s="4">
        <v>497.99</v>
      </c>
      <c r="J62" s="4">
        <f t="shared" ca="1" si="1"/>
        <v>45979.17712615741</v>
      </c>
    </row>
    <row r="63" spans="1:10" x14ac:dyDescent="0.2">
      <c r="A63" s="4" t="s">
        <v>18</v>
      </c>
      <c r="B63" s="4" t="s">
        <v>57</v>
      </c>
      <c r="C63" s="4" t="s">
        <v>70</v>
      </c>
      <c r="D63" s="4" t="s">
        <v>75</v>
      </c>
      <c r="E63" s="4">
        <v>488.99</v>
      </c>
      <c r="F63" s="4">
        <v>9</v>
      </c>
      <c r="G63" s="4">
        <v>0</v>
      </c>
      <c r="H63" s="27">
        <v>45479</v>
      </c>
      <c r="I63" s="4">
        <v>220.05</v>
      </c>
      <c r="J63" s="4">
        <f t="shared" ca="1" si="1"/>
        <v>45979.17712615741</v>
      </c>
    </row>
    <row r="64" spans="1:10" x14ac:dyDescent="0.2">
      <c r="A64" s="4" t="s">
        <v>16</v>
      </c>
      <c r="B64" s="4" t="s">
        <v>45</v>
      </c>
      <c r="C64" s="4" t="s">
        <v>67</v>
      </c>
      <c r="D64" s="4" t="s">
        <v>74</v>
      </c>
      <c r="E64" s="4">
        <v>933.71</v>
      </c>
      <c r="F64" s="4">
        <v>17</v>
      </c>
      <c r="G64" s="4">
        <v>0.1</v>
      </c>
      <c r="H64" s="27">
        <v>45481</v>
      </c>
      <c r="I64" s="4">
        <v>294.12</v>
      </c>
      <c r="J64" s="4">
        <f t="shared" ca="1" si="1"/>
        <v>45979.17712615741</v>
      </c>
    </row>
    <row r="65" spans="1:10" x14ac:dyDescent="0.2">
      <c r="A65" s="4" t="s">
        <v>32</v>
      </c>
      <c r="B65" s="4" t="s">
        <v>39</v>
      </c>
      <c r="C65" s="4" t="s">
        <v>66</v>
      </c>
      <c r="D65" s="4" t="s">
        <v>73</v>
      </c>
      <c r="E65" s="4">
        <v>1005.53</v>
      </c>
      <c r="F65" s="4">
        <v>17</v>
      </c>
      <c r="G65" s="4">
        <v>0.2</v>
      </c>
      <c r="H65" s="27">
        <v>45481</v>
      </c>
      <c r="I65" s="4">
        <v>201.11</v>
      </c>
      <c r="J65" s="4">
        <f t="shared" ca="1" si="1"/>
        <v>45979.17712615741</v>
      </c>
    </row>
    <row r="66" spans="1:10" x14ac:dyDescent="0.2">
      <c r="A66" s="4" t="s">
        <v>21</v>
      </c>
      <c r="B66" s="4" t="s">
        <v>60</v>
      </c>
      <c r="C66" s="4" t="s">
        <v>68</v>
      </c>
      <c r="D66" s="4" t="s">
        <v>73</v>
      </c>
      <c r="E66" s="4">
        <v>1100.0999999999999</v>
      </c>
      <c r="F66" s="4">
        <v>5</v>
      </c>
      <c r="G66" s="4">
        <v>0.05</v>
      </c>
      <c r="H66" s="27">
        <v>45482</v>
      </c>
      <c r="I66" s="4">
        <v>261.27</v>
      </c>
      <c r="J66" s="4">
        <f t="shared" ref="J66:J97" ca="1" si="2">NOW()</f>
        <v>45979.17712615741</v>
      </c>
    </row>
    <row r="67" spans="1:10" x14ac:dyDescent="0.2">
      <c r="A67" s="4" t="s">
        <v>32</v>
      </c>
      <c r="B67" s="4" t="s">
        <v>42</v>
      </c>
      <c r="C67" s="4" t="s">
        <v>69</v>
      </c>
      <c r="D67" s="4" t="s">
        <v>74</v>
      </c>
      <c r="E67" s="4">
        <v>1034.7</v>
      </c>
      <c r="F67" s="4">
        <v>15</v>
      </c>
      <c r="G67" s="4">
        <v>0.15</v>
      </c>
      <c r="H67" s="27">
        <v>45487</v>
      </c>
      <c r="I67" s="4">
        <v>307.82</v>
      </c>
      <c r="J67" s="4">
        <f t="shared" ca="1" si="2"/>
        <v>45979.17712615741</v>
      </c>
    </row>
    <row r="68" spans="1:10" x14ac:dyDescent="0.2">
      <c r="A68" s="4" t="s">
        <v>31</v>
      </c>
      <c r="B68" s="4" t="s">
        <v>45</v>
      </c>
      <c r="C68" s="4" t="s">
        <v>68</v>
      </c>
      <c r="D68" s="4" t="s">
        <v>71</v>
      </c>
      <c r="E68" s="4">
        <v>876.44</v>
      </c>
      <c r="F68" s="4">
        <v>12</v>
      </c>
      <c r="G68" s="4">
        <v>0.05</v>
      </c>
      <c r="H68" s="27">
        <v>45488</v>
      </c>
      <c r="I68" s="4">
        <v>333.05</v>
      </c>
      <c r="J68" s="4">
        <f t="shared" ca="1" si="2"/>
        <v>45979.17712615741</v>
      </c>
    </row>
    <row r="69" spans="1:10" x14ac:dyDescent="0.2">
      <c r="A69" s="4" t="s">
        <v>33</v>
      </c>
      <c r="B69" s="4" t="s">
        <v>57</v>
      </c>
      <c r="C69" s="4" t="s">
        <v>66</v>
      </c>
      <c r="D69" s="4" t="s">
        <v>74</v>
      </c>
      <c r="E69" s="4">
        <v>1371.34</v>
      </c>
      <c r="F69" s="4">
        <v>5</v>
      </c>
      <c r="G69" s="4">
        <v>0.05</v>
      </c>
      <c r="H69" s="27">
        <v>45488</v>
      </c>
      <c r="I69" s="4">
        <v>455.97</v>
      </c>
      <c r="J69" s="4">
        <f t="shared" ca="1" si="2"/>
        <v>45979.17712615741</v>
      </c>
    </row>
    <row r="70" spans="1:10" x14ac:dyDescent="0.2">
      <c r="A70" s="4" t="s">
        <v>27</v>
      </c>
      <c r="B70" s="4" t="s">
        <v>52</v>
      </c>
      <c r="C70" s="4" t="s">
        <v>69</v>
      </c>
      <c r="D70" s="4" t="s">
        <v>73</v>
      </c>
      <c r="E70" s="4">
        <v>1020.26</v>
      </c>
      <c r="F70" s="4">
        <v>11</v>
      </c>
      <c r="G70" s="4">
        <v>0.05</v>
      </c>
      <c r="H70" s="27">
        <v>45494</v>
      </c>
      <c r="I70" s="4">
        <v>242.31</v>
      </c>
      <c r="J70" s="4">
        <f t="shared" ca="1" si="2"/>
        <v>45979.17712615741</v>
      </c>
    </row>
    <row r="71" spans="1:10" x14ac:dyDescent="0.2">
      <c r="A71" s="4" t="s">
        <v>22</v>
      </c>
      <c r="B71" s="4" t="s">
        <v>39</v>
      </c>
      <c r="C71" s="4" t="s">
        <v>70</v>
      </c>
      <c r="D71" s="4" t="s">
        <v>75</v>
      </c>
      <c r="E71" s="4">
        <v>804.81</v>
      </c>
      <c r="F71" s="4">
        <v>1</v>
      </c>
      <c r="G71" s="4">
        <v>0.05</v>
      </c>
      <c r="H71" s="27">
        <v>45502</v>
      </c>
      <c r="I71" s="4">
        <v>344.06</v>
      </c>
      <c r="J71" s="4">
        <f t="shared" ca="1" si="2"/>
        <v>45979.17712615741</v>
      </c>
    </row>
    <row r="72" spans="1:10" x14ac:dyDescent="0.2">
      <c r="A72" s="4" t="s">
        <v>13</v>
      </c>
      <c r="B72" s="4" t="s">
        <v>57</v>
      </c>
      <c r="C72" s="4" t="s">
        <v>70</v>
      </c>
      <c r="D72" s="4" t="s">
        <v>73</v>
      </c>
      <c r="E72" s="4">
        <v>608.66</v>
      </c>
      <c r="F72" s="4">
        <v>1</v>
      </c>
      <c r="G72" s="4">
        <v>0.05</v>
      </c>
      <c r="H72" s="27">
        <v>45503</v>
      </c>
      <c r="I72" s="4">
        <v>144.56</v>
      </c>
      <c r="J72" s="4">
        <f t="shared" ca="1" si="2"/>
        <v>45979.17712615741</v>
      </c>
    </row>
    <row r="73" spans="1:10" x14ac:dyDescent="0.2">
      <c r="A73" s="4" t="s">
        <v>33</v>
      </c>
      <c r="B73" s="4" t="s">
        <v>64</v>
      </c>
      <c r="C73" s="4" t="s">
        <v>68</v>
      </c>
      <c r="D73" s="4" t="s">
        <v>75</v>
      </c>
      <c r="E73" s="4">
        <v>981.2</v>
      </c>
      <c r="F73" s="4">
        <v>19</v>
      </c>
      <c r="G73" s="4">
        <v>0</v>
      </c>
      <c r="H73" s="27">
        <v>45504</v>
      </c>
      <c r="I73" s="4">
        <v>441.54</v>
      </c>
      <c r="J73" s="4">
        <f t="shared" ca="1" si="2"/>
        <v>45979.17712615741</v>
      </c>
    </row>
    <row r="74" spans="1:10" x14ac:dyDescent="0.2">
      <c r="A74" s="4" t="s">
        <v>34</v>
      </c>
      <c r="B74" s="4" t="s">
        <v>57</v>
      </c>
      <c r="C74" s="4" t="s">
        <v>67</v>
      </c>
      <c r="D74" s="4" t="s">
        <v>73</v>
      </c>
      <c r="E74" s="4">
        <v>539.77</v>
      </c>
      <c r="F74" s="4">
        <v>10</v>
      </c>
      <c r="G74" s="4">
        <v>0.15</v>
      </c>
      <c r="H74" s="27">
        <v>45509</v>
      </c>
      <c r="I74" s="4">
        <v>114.7</v>
      </c>
      <c r="J74" s="4">
        <f t="shared" ca="1" si="2"/>
        <v>45979.17712615741</v>
      </c>
    </row>
    <row r="75" spans="1:10" x14ac:dyDescent="0.2">
      <c r="A75" s="4" t="s">
        <v>10</v>
      </c>
      <c r="B75" s="4" t="s">
        <v>65</v>
      </c>
      <c r="C75" s="4" t="s">
        <v>68</v>
      </c>
      <c r="D75" s="4" t="s">
        <v>71</v>
      </c>
      <c r="E75" s="4">
        <v>804.45</v>
      </c>
      <c r="F75" s="4">
        <v>5</v>
      </c>
      <c r="G75" s="4">
        <v>0.2</v>
      </c>
      <c r="H75" s="27">
        <v>45509</v>
      </c>
      <c r="I75" s="4">
        <v>257.42</v>
      </c>
      <c r="J75" s="4">
        <f t="shared" ca="1" si="2"/>
        <v>45979.17712615741</v>
      </c>
    </row>
    <row r="76" spans="1:10" x14ac:dyDescent="0.2">
      <c r="A76" s="4" t="s">
        <v>34</v>
      </c>
      <c r="B76" s="4" t="s">
        <v>48</v>
      </c>
      <c r="C76" s="4" t="s">
        <v>66</v>
      </c>
      <c r="D76" s="4" t="s">
        <v>73</v>
      </c>
      <c r="E76" s="4">
        <v>1526.6</v>
      </c>
      <c r="F76" s="4">
        <v>13</v>
      </c>
      <c r="G76" s="4">
        <v>0.2</v>
      </c>
      <c r="H76" s="27">
        <v>45512</v>
      </c>
      <c r="I76" s="4">
        <v>305.32</v>
      </c>
      <c r="J76" s="4">
        <f t="shared" ca="1" si="2"/>
        <v>45979.17712615741</v>
      </c>
    </row>
    <row r="77" spans="1:10" x14ac:dyDescent="0.2">
      <c r="A77" s="4" t="s">
        <v>10</v>
      </c>
      <c r="B77" s="4" t="s">
        <v>44</v>
      </c>
      <c r="C77" s="4" t="s">
        <v>66</v>
      </c>
      <c r="D77" s="4" t="s">
        <v>73</v>
      </c>
      <c r="E77" s="4">
        <v>1215.26</v>
      </c>
      <c r="F77" s="4">
        <v>5</v>
      </c>
      <c r="G77" s="4">
        <v>0.15</v>
      </c>
      <c r="H77" s="27">
        <v>45513</v>
      </c>
      <c r="I77" s="4">
        <v>258.24</v>
      </c>
      <c r="J77" s="4">
        <f t="shared" ca="1" si="2"/>
        <v>45979.17712615741</v>
      </c>
    </row>
    <row r="78" spans="1:10" x14ac:dyDescent="0.2">
      <c r="A78" s="4" t="s">
        <v>12</v>
      </c>
      <c r="B78" s="4" t="s">
        <v>56</v>
      </c>
      <c r="C78" s="4" t="s">
        <v>70</v>
      </c>
      <c r="D78" s="4" t="s">
        <v>74</v>
      </c>
      <c r="E78" s="4">
        <v>1261.3399999999999</v>
      </c>
      <c r="F78" s="4">
        <v>3</v>
      </c>
      <c r="G78" s="4">
        <v>0</v>
      </c>
      <c r="H78" s="27">
        <v>45519</v>
      </c>
      <c r="I78" s="4">
        <v>441.47</v>
      </c>
      <c r="J78" s="4">
        <f t="shared" ca="1" si="2"/>
        <v>45979.17712615741</v>
      </c>
    </row>
    <row r="79" spans="1:10" x14ac:dyDescent="0.2">
      <c r="A79" s="4" t="s">
        <v>35</v>
      </c>
      <c r="B79" s="4" t="s">
        <v>51</v>
      </c>
      <c r="C79" s="4" t="s">
        <v>69</v>
      </c>
      <c r="D79" s="4" t="s">
        <v>74</v>
      </c>
      <c r="E79" s="4">
        <v>518.07000000000005</v>
      </c>
      <c r="F79" s="4">
        <v>7</v>
      </c>
      <c r="G79" s="4">
        <v>0.05</v>
      </c>
      <c r="H79" s="27">
        <v>45522</v>
      </c>
      <c r="I79" s="4">
        <v>172.26</v>
      </c>
      <c r="J79" s="4">
        <f t="shared" ca="1" si="2"/>
        <v>45979.17712615741</v>
      </c>
    </row>
    <row r="80" spans="1:10" x14ac:dyDescent="0.2">
      <c r="A80" s="4" t="s">
        <v>16</v>
      </c>
      <c r="B80" s="4" t="s">
        <v>44</v>
      </c>
      <c r="C80" s="4" t="s">
        <v>66</v>
      </c>
      <c r="D80" s="4" t="s">
        <v>75</v>
      </c>
      <c r="E80" s="4">
        <v>1111.3399999999999</v>
      </c>
      <c r="F80" s="4">
        <v>1</v>
      </c>
      <c r="G80" s="4">
        <v>0</v>
      </c>
      <c r="H80" s="27">
        <v>45523</v>
      </c>
      <c r="I80" s="4">
        <v>500.1</v>
      </c>
      <c r="J80" s="4">
        <f t="shared" ca="1" si="2"/>
        <v>45979.17712615741</v>
      </c>
    </row>
    <row r="81" spans="1:10" x14ac:dyDescent="0.2">
      <c r="A81" s="4" t="s">
        <v>13</v>
      </c>
      <c r="B81" s="4" t="s">
        <v>45</v>
      </c>
      <c r="C81" s="4" t="s">
        <v>67</v>
      </c>
      <c r="D81" s="4" t="s">
        <v>72</v>
      </c>
      <c r="E81" s="4">
        <v>1291.47</v>
      </c>
      <c r="F81" s="4">
        <v>18</v>
      </c>
      <c r="G81" s="4">
        <v>0.1</v>
      </c>
      <c r="H81" s="27">
        <v>45526</v>
      </c>
      <c r="I81" s="4">
        <v>581.16</v>
      </c>
      <c r="J81" s="4">
        <f t="shared" ca="1" si="2"/>
        <v>45979.17712615741</v>
      </c>
    </row>
    <row r="82" spans="1:10" x14ac:dyDescent="0.2">
      <c r="A82" s="4" t="s">
        <v>14</v>
      </c>
      <c r="B82" s="4" t="s">
        <v>57</v>
      </c>
      <c r="C82" s="4" t="s">
        <v>69</v>
      </c>
      <c r="D82" s="4" t="s">
        <v>71</v>
      </c>
      <c r="E82" s="4">
        <v>679.71</v>
      </c>
      <c r="F82" s="4">
        <v>19</v>
      </c>
      <c r="G82" s="4">
        <v>0</v>
      </c>
      <c r="H82" s="27">
        <v>45534</v>
      </c>
      <c r="I82" s="4">
        <v>271.88</v>
      </c>
      <c r="J82" s="4">
        <f t="shared" ca="1" si="2"/>
        <v>45979.17712615741</v>
      </c>
    </row>
    <row r="83" spans="1:10" x14ac:dyDescent="0.2">
      <c r="A83" s="4" t="s">
        <v>33</v>
      </c>
      <c r="B83" s="4" t="s">
        <v>46</v>
      </c>
      <c r="C83" s="4" t="s">
        <v>67</v>
      </c>
      <c r="D83" s="4" t="s">
        <v>74</v>
      </c>
      <c r="E83" s="4">
        <v>1143.69</v>
      </c>
      <c r="F83" s="4">
        <v>17</v>
      </c>
      <c r="G83" s="4">
        <v>0</v>
      </c>
      <c r="H83" s="27">
        <v>45534</v>
      </c>
      <c r="I83" s="4">
        <v>400.29</v>
      </c>
      <c r="J83" s="4">
        <f t="shared" ca="1" si="2"/>
        <v>45979.17712615741</v>
      </c>
    </row>
    <row r="84" spans="1:10" x14ac:dyDescent="0.2">
      <c r="A84" s="4" t="s">
        <v>25</v>
      </c>
      <c r="B84" s="4" t="s">
        <v>54</v>
      </c>
      <c r="C84" s="4" t="s">
        <v>70</v>
      </c>
      <c r="D84" s="4" t="s">
        <v>73</v>
      </c>
      <c r="E84" s="4">
        <v>790.08</v>
      </c>
      <c r="F84" s="4">
        <v>7</v>
      </c>
      <c r="G84" s="4">
        <v>0.1</v>
      </c>
      <c r="H84" s="27">
        <v>45536</v>
      </c>
      <c r="I84" s="4">
        <v>177.77</v>
      </c>
      <c r="J84" s="4">
        <f t="shared" ca="1" si="2"/>
        <v>45979.17712615741</v>
      </c>
    </row>
    <row r="85" spans="1:10" x14ac:dyDescent="0.2">
      <c r="A85" s="4" t="s">
        <v>12</v>
      </c>
      <c r="B85" s="4" t="s">
        <v>53</v>
      </c>
      <c r="C85" s="4" t="s">
        <v>70</v>
      </c>
      <c r="D85" s="4" t="s">
        <v>71</v>
      </c>
      <c r="E85" s="4">
        <v>1070.68</v>
      </c>
      <c r="F85" s="4">
        <v>7</v>
      </c>
      <c r="G85" s="4">
        <v>0.05</v>
      </c>
      <c r="H85" s="27">
        <v>45536</v>
      </c>
      <c r="I85" s="4">
        <v>406.86</v>
      </c>
      <c r="J85" s="4">
        <f t="shared" ca="1" si="2"/>
        <v>45979.17712615741</v>
      </c>
    </row>
    <row r="86" spans="1:10" x14ac:dyDescent="0.2">
      <c r="A86" s="4" t="s">
        <v>28</v>
      </c>
      <c r="B86" s="4" t="s">
        <v>47</v>
      </c>
      <c r="C86" s="4" t="s">
        <v>66</v>
      </c>
      <c r="D86" s="4" t="s">
        <v>72</v>
      </c>
      <c r="E86" s="4">
        <v>1168.8900000000001</v>
      </c>
      <c r="F86" s="4">
        <v>4</v>
      </c>
      <c r="G86" s="4">
        <v>0.1</v>
      </c>
      <c r="H86" s="27">
        <v>45544</v>
      </c>
      <c r="I86" s="4">
        <v>526</v>
      </c>
      <c r="J86" s="4">
        <f t="shared" ca="1" si="2"/>
        <v>45979.17712615741</v>
      </c>
    </row>
    <row r="87" spans="1:10" x14ac:dyDescent="0.2">
      <c r="A87" s="4" t="s">
        <v>32</v>
      </c>
      <c r="B87" s="4" t="s">
        <v>39</v>
      </c>
      <c r="C87" s="4" t="s">
        <v>68</v>
      </c>
      <c r="D87" s="4" t="s">
        <v>73</v>
      </c>
      <c r="E87" s="4">
        <v>1335.87</v>
      </c>
      <c r="F87" s="4">
        <v>17</v>
      </c>
      <c r="G87" s="4">
        <v>0</v>
      </c>
      <c r="H87" s="27">
        <v>45544</v>
      </c>
      <c r="I87" s="4">
        <v>333.97</v>
      </c>
      <c r="J87" s="4">
        <f t="shared" ca="1" si="2"/>
        <v>45979.17712615741</v>
      </c>
    </row>
    <row r="88" spans="1:10" x14ac:dyDescent="0.2">
      <c r="A88" s="4" t="s">
        <v>20</v>
      </c>
      <c r="B88" s="4" t="s">
        <v>57</v>
      </c>
      <c r="C88" s="4" t="s">
        <v>67</v>
      </c>
      <c r="D88" s="4" t="s">
        <v>74</v>
      </c>
      <c r="E88" s="4">
        <v>873.7</v>
      </c>
      <c r="F88" s="4">
        <v>9</v>
      </c>
      <c r="G88" s="4">
        <v>0</v>
      </c>
      <c r="H88" s="27">
        <v>45546</v>
      </c>
      <c r="I88" s="4">
        <v>305.8</v>
      </c>
      <c r="J88" s="4">
        <f t="shared" ca="1" si="2"/>
        <v>45979.17712615741</v>
      </c>
    </row>
    <row r="89" spans="1:10" x14ac:dyDescent="0.2">
      <c r="A89" s="4" t="s">
        <v>35</v>
      </c>
      <c r="B89" s="4" t="s">
        <v>62</v>
      </c>
      <c r="C89" s="4" t="s">
        <v>66</v>
      </c>
      <c r="D89" s="4" t="s">
        <v>75</v>
      </c>
      <c r="E89" s="4">
        <v>1443.98</v>
      </c>
      <c r="F89" s="4">
        <v>19</v>
      </c>
      <c r="G89" s="4">
        <v>0</v>
      </c>
      <c r="H89" s="27">
        <v>45547</v>
      </c>
      <c r="I89" s="4">
        <v>649.79</v>
      </c>
      <c r="J89" s="4">
        <f t="shared" ca="1" si="2"/>
        <v>45979.17712615741</v>
      </c>
    </row>
    <row r="90" spans="1:10" x14ac:dyDescent="0.2">
      <c r="A90" s="4" t="s">
        <v>20</v>
      </c>
      <c r="B90" s="4" t="s">
        <v>42</v>
      </c>
      <c r="C90" s="4" t="s">
        <v>67</v>
      </c>
      <c r="D90" s="4" t="s">
        <v>75</v>
      </c>
      <c r="E90" s="4">
        <v>1154.33</v>
      </c>
      <c r="F90" s="4">
        <v>11</v>
      </c>
      <c r="G90" s="4">
        <v>0.15</v>
      </c>
      <c r="H90" s="27">
        <v>45549</v>
      </c>
      <c r="I90" s="4">
        <v>441.53</v>
      </c>
      <c r="J90" s="4">
        <f t="shared" ca="1" si="2"/>
        <v>45979.17712615741</v>
      </c>
    </row>
    <row r="91" spans="1:10" x14ac:dyDescent="0.2">
      <c r="A91" s="4" t="s">
        <v>24</v>
      </c>
      <c r="B91" s="4" t="s">
        <v>54</v>
      </c>
      <c r="C91" s="4" t="s">
        <v>68</v>
      </c>
      <c r="D91" s="4" t="s">
        <v>71</v>
      </c>
      <c r="E91" s="4">
        <v>1264.49</v>
      </c>
      <c r="F91" s="4">
        <v>16</v>
      </c>
      <c r="G91" s="4">
        <v>0.05</v>
      </c>
      <c r="H91" s="27">
        <v>45549</v>
      </c>
      <c r="I91" s="4">
        <v>480.51</v>
      </c>
      <c r="J91" s="4">
        <f t="shared" ca="1" si="2"/>
        <v>45979.17712615741</v>
      </c>
    </row>
    <row r="92" spans="1:10" x14ac:dyDescent="0.2">
      <c r="A92" s="4" t="s">
        <v>14</v>
      </c>
      <c r="B92" s="4" t="s">
        <v>63</v>
      </c>
      <c r="C92" s="4" t="s">
        <v>66</v>
      </c>
      <c r="D92" s="4" t="s">
        <v>74</v>
      </c>
      <c r="E92" s="4">
        <v>1101.55</v>
      </c>
      <c r="F92" s="4">
        <v>4</v>
      </c>
      <c r="G92" s="4">
        <v>0.1</v>
      </c>
      <c r="H92" s="27">
        <v>45551</v>
      </c>
      <c r="I92" s="4">
        <v>346.99</v>
      </c>
      <c r="J92" s="4">
        <f t="shared" ca="1" si="2"/>
        <v>45979.17712615741</v>
      </c>
    </row>
    <row r="93" spans="1:10" x14ac:dyDescent="0.2">
      <c r="A93" s="4" t="s">
        <v>36</v>
      </c>
      <c r="B93" s="4" t="s">
        <v>40</v>
      </c>
      <c r="C93" s="4" t="s">
        <v>68</v>
      </c>
      <c r="D93" s="4" t="s">
        <v>74</v>
      </c>
      <c r="E93" s="4">
        <v>727.73</v>
      </c>
      <c r="F93" s="4">
        <v>1</v>
      </c>
      <c r="G93" s="4">
        <v>0.1</v>
      </c>
      <c r="H93" s="27">
        <v>45552</v>
      </c>
      <c r="I93" s="4">
        <v>229.23</v>
      </c>
      <c r="J93" s="4">
        <f t="shared" ca="1" si="2"/>
        <v>45979.17712615741</v>
      </c>
    </row>
    <row r="94" spans="1:10" x14ac:dyDescent="0.2">
      <c r="A94" s="4" t="s">
        <v>37</v>
      </c>
      <c r="B94" s="4" t="s">
        <v>48</v>
      </c>
      <c r="C94" s="4" t="s">
        <v>67</v>
      </c>
      <c r="D94" s="4" t="s">
        <v>75</v>
      </c>
      <c r="E94" s="4">
        <v>875.41</v>
      </c>
      <c r="F94" s="4">
        <v>13</v>
      </c>
      <c r="G94" s="4">
        <v>0.15</v>
      </c>
      <c r="H94" s="27">
        <v>45552</v>
      </c>
      <c r="I94" s="4">
        <v>334.84</v>
      </c>
      <c r="J94" s="4">
        <f t="shared" ca="1" si="2"/>
        <v>45979.17712615741</v>
      </c>
    </row>
    <row r="95" spans="1:10" x14ac:dyDescent="0.2">
      <c r="A95" s="4" t="s">
        <v>32</v>
      </c>
      <c r="B95" s="4" t="s">
        <v>42</v>
      </c>
      <c r="C95" s="4" t="s">
        <v>66</v>
      </c>
      <c r="D95" s="4" t="s">
        <v>73</v>
      </c>
      <c r="E95" s="4">
        <v>1158.94</v>
      </c>
      <c r="F95" s="4">
        <v>19</v>
      </c>
      <c r="G95" s="4">
        <v>0.2</v>
      </c>
      <c r="H95" s="27">
        <v>45553</v>
      </c>
      <c r="I95" s="4">
        <v>231.79</v>
      </c>
      <c r="J95" s="4">
        <f t="shared" ca="1" si="2"/>
        <v>45979.17712615741</v>
      </c>
    </row>
    <row r="96" spans="1:10" x14ac:dyDescent="0.2">
      <c r="A96" s="4" t="s">
        <v>38</v>
      </c>
      <c r="B96" s="4" t="s">
        <v>52</v>
      </c>
      <c r="C96" s="4" t="s">
        <v>68</v>
      </c>
      <c r="D96" s="4" t="s">
        <v>71</v>
      </c>
      <c r="E96" s="4">
        <v>966.3</v>
      </c>
      <c r="F96" s="4">
        <v>2</v>
      </c>
      <c r="G96" s="4">
        <v>0.15</v>
      </c>
      <c r="H96" s="27">
        <v>45557</v>
      </c>
      <c r="I96" s="4">
        <v>328.54</v>
      </c>
      <c r="J96" s="4">
        <f t="shared" ca="1" si="2"/>
        <v>45979.17712615741</v>
      </c>
    </row>
    <row r="97" spans="1:10" x14ac:dyDescent="0.2">
      <c r="A97" s="4" t="s">
        <v>33</v>
      </c>
      <c r="B97" s="4" t="s">
        <v>41</v>
      </c>
      <c r="C97" s="4" t="s">
        <v>68</v>
      </c>
      <c r="D97" s="4" t="s">
        <v>71</v>
      </c>
      <c r="E97" s="4">
        <v>917.48</v>
      </c>
      <c r="F97" s="4">
        <v>6</v>
      </c>
      <c r="G97" s="4">
        <v>0</v>
      </c>
      <c r="H97" s="27">
        <v>45558</v>
      </c>
      <c r="I97" s="4">
        <v>366.99</v>
      </c>
      <c r="J97" s="4">
        <f t="shared" ca="1" si="2"/>
        <v>45979.17712615741</v>
      </c>
    </row>
    <row r="98" spans="1:10" x14ac:dyDescent="0.2">
      <c r="A98" s="4" t="s">
        <v>21</v>
      </c>
      <c r="B98" s="4" t="s">
        <v>60</v>
      </c>
      <c r="C98" s="4" t="s">
        <v>66</v>
      </c>
      <c r="D98" s="4" t="s">
        <v>74</v>
      </c>
      <c r="E98" s="4">
        <v>1172.97</v>
      </c>
      <c r="F98" s="4">
        <v>7</v>
      </c>
      <c r="G98" s="4">
        <v>0.15</v>
      </c>
      <c r="H98" s="27">
        <v>45559</v>
      </c>
      <c r="I98" s="4">
        <v>348.96</v>
      </c>
      <c r="J98" s="4">
        <f t="shared" ref="J98:J129" ca="1" si="3">NOW()</f>
        <v>45979.17712615741</v>
      </c>
    </row>
    <row r="99" spans="1:10" x14ac:dyDescent="0.2">
      <c r="A99" s="4" t="s">
        <v>27</v>
      </c>
      <c r="B99" s="4" t="s">
        <v>42</v>
      </c>
      <c r="C99" s="4" t="s">
        <v>69</v>
      </c>
      <c r="D99" s="4" t="s">
        <v>72</v>
      </c>
      <c r="E99" s="4">
        <v>1205.82</v>
      </c>
      <c r="F99" s="4">
        <v>11</v>
      </c>
      <c r="G99" s="4">
        <v>0.1</v>
      </c>
      <c r="H99" s="27">
        <v>45559</v>
      </c>
      <c r="I99" s="4">
        <v>542.62</v>
      </c>
      <c r="J99" s="4">
        <f t="shared" ca="1" si="3"/>
        <v>45979.17712615741</v>
      </c>
    </row>
    <row r="100" spans="1:10" x14ac:dyDescent="0.2">
      <c r="A100" s="4" t="s">
        <v>11</v>
      </c>
      <c r="B100" s="4" t="s">
        <v>62</v>
      </c>
      <c r="C100" s="4" t="s">
        <v>66</v>
      </c>
      <c r="D100" s="4" t="s">
        <v>75</v>
      </c>
      <c r="E100" s="4">
        <v>826.93</v>
      </c>
      <c r="F100" s="4">
        <v>10</v>
      </c>
      <c r="G100" s="4">
        <v>0.2</v>
      </c>
      <c r="H100" s="27">
        <v>45564</v>
      </c>
      <c r="I100" s="4">
        <v>297.69</v>
      </c>
      <c r="J100" s="4">
        <f t="shared" ca="1" si="3"/>
        <v>45979.17712615741</v>
      </c>
    </row>
    <row r="101" spans="1:10" x14ac:dyDescent="0.2">
      <c r="A101" s="4" t="s">
        <v>32</v>
      </c>
      <c r="B101" s="4" t="s">
        <v>42</v>
      </c>
      <c r="C101" s="4" t="s">
        <v>70</v>
      </c>
      <c r="D101" s="4" t="s">
        <v>72</v>
      </c>
      <c r="E101" s="4">
        <v>902.19</v>
      </c>
      <c r="F101" s="4">
        <v>12</v>
      </c>
      <c r="G101" s="4">
        <v>0</v>
      </c>
      <c r="H101" s="27">
        <v>45564</v>
      </c>
      <c r="I101" s="4">
        <v>451.1</v>
      </c>
      <c r="J101" s="4">
        <f t="shared" ca="1" si="3"/>
        <v>45979.17712615741</v>
      </c>
    </row>
    <row r="102" spans="1:10" x14ac:dyDescent="0.2">
      <c r="A102" s="4" t="s">
        <v>37</v>
      </c>
      <c r="B102" s="4" t="s">
        <v>48</v>
      </c>
      <c r="C102" s="4" t="s">
        <v>69</v>
      </c>
      <c r="D102" s="4" t="s">
        <v>71</v>
      </c>
      <c r="E102" s="4">
        <v>585.97</v>
      </c>
      <c r="F102" s="4">
        <v>17</v>
      </c>
      <c r="G102" s="4">
        <v>0.1</v>
      </c>
      <c r="H102" s="27">
        <v>45565</v>
      </c>
      <c r="I102" s="4">
        <v>210.95</v>
      </c>
      <c r="J102" s="4">
        <f t="shared" ca="1" si="3"/>
        <v>45979.17712615741</v>
      </c>
    </row>
    <row r="103" spans="1:10" x14ac:dyDescent="0.2">
      <c r="A103" s="4" t="s">
        <v>29</v>
      </c>
      <c r="B103" s="4" t="s">
        <v>43</v>
      </c>
      <c r="C103" s="4" t="s">
        <v>69</v>
      </c>
      <c r="D103" s="4" t="s">
        <v>72</v>
      </c>
      <c r="E103" s="4">
        <v>990.19</v>
      </c>
      <c r="F103" s="4">
        <v>8</v>
      </c>
      <c r="G103" s="4">
        <v>0.1</v>
      </c>
      <c r="H103" s="27">
        <v>45565</v>
      </c>
      <c r="I103" s="4">
        <v>445.59</v>
      </c>
      <c r="J103" s="4">
        <f t="shared" ca="1" si="3"/>
        <v>45979.17712615741</v>
      </c>
    </row>
    <row r="104" spans="1:10" x14ac:dyDescent="0.2">
      <c r="A104" s="4" t="s">
        <v>22</v>
      </c>
      <c r="B104" s="4" t="s">
        <v>58</v>
      </c>
      <c r="C104" s="4" t="s">
        <v>70</v>
      </c>
      <c r="D104" s="4" t="s">
        <v>73</v>
      </c>
      <c r="E104" s="4">
        <v>1014.09</v>
      </c>
      <c r="F104" s="4">
        <v>13</v>
      </c>
      <c r="G104" s="4">
        <v>0.2</v>
      </c>
      <c r="H104" s="27">
        <v>45567</v>
      </c>
      <c r="I104" s="4">
        <v>202.82</v>
      </c>
      <c r="J104" s="4">
        <f t="shared" ca="1" si="3"/>
        <v>45979.17712615741</v>
      </c>
    </row>
    <row r="105" spans="1:10" x14ac:dyDescent="0.2">
      <c r="A105" s="4" t="s">
        <v>10</v>
      </c>
      <c r="B105" s="4" t="s">
        <v>53</v>
      </c>
      <c r="C105" s="4" t="s">
        <v>69</v>
      </c>
      <c r="D105" s="4" t="s">
        <v>73</v>
      </c>
      <c r="E105" s="4">
        <v>925.29</v>
      </c>
      <c r="F105" s="4">
        <v>17</v>
      </c>
      <c r="G105" s="4">
        <v>0</v>
      </c>
      <c r="H105" s="27">
        <v>45570</v>
      </c>
      <c r="I105" s="4">
        <v>231.32</v>
      </c>
      <c r="J105" s="4">
        <f t="shared" ca="1" si="3"/>
        <v>45979.17712615741</v>
      </c>
    </row>
    <row r="106" spans="1:10" x14ac:dyDescent="0.2">
      <c r="A106" s="4" t="s">
        <v>26</v>
      </c>
      <c r="B106" s="4" t="s">
        <v>52</v>
      </c>
      <c r="C106" s="4" t="s">
        <v>67</v>
      </c>
      <c r="D106" s="4" t="s">
        <v>74</v>
      </c>
      <c r="E106" s="4">
        <v>1286.54</v>
      </c>
      <c r="F106" s="4">
        <v>8</v>
      </c>
      <c r="G106" s="4">
        <v>0</v>
      </c>
      <c r="H106" s="27">
        <v>45575</v>
      </c>
      <c r="I106" s="4">
        <v>450.29</v>
      </c>
      <c r="J106" s="4">
        <f t="shared" ca="1" si="3"/>
        <v>45979.17712615741</v>
      </c>
    </row>
    <row r="107" spans="1:10" x14ac:dyDescent="0.2">
      <c r="A107" s="4" t="s">
        <v>19</v>
      </c>
      <c r="B107" s="4" t="s">
        <v>62</v>
      </c>
      <c r="C107" s="4" t="s">
        <v>68</v>
      </c>
      <c r="D107" s="4" t="s">
        <v>71</v>
      </c>
      <c r="E107" s="4">
        <v>961.62</v>
      </c>
      <c r="F107" s="4">
        <v>8</v>
      </c>
      <c r="G107" s="4">
        <v>0.2</v>
      </c>
      <c r="H107" s="27">
        <v>45577</v>
      </c>
      <c r="I107" s="4">
        <v>307.72000000000003</v>
      </c>
      <c r="J107" s="4">
        <f t="shared" ca="1" si="3"/>
        <v>45979.17712615741</v>
      </c>
    </row>
    <row r="108" spans="1:10" x14ac:dyDescent="0.2">
      <c r="A108" s="4" t="s">
        <v>22</v>
      </c>
      <c r="B108" s="4" t="s">
        <v>42</v>
      </c>
      <c r="C108" s="4" t="s">
        <v>67</v>
      </c>
      <c r="D108" s="4" t="s">
        <v>71</v>
      </c>
      <c r="E108" s="4">
        <v>1081.1400000000001</v>
      </c>
      <c r="F108" s="4">
        <v>19</v>
      </c>
      <c r="G108" s="4">
        <v>0.15</v>
      </c>
      <c r="H108" s="27">
        <v>45577</v>
      </c>
      <c r="I108" s="4">
        <v>367.59</v>
      </c>
      <c r="J108" s="4">
        <f t="shared" ca="1" si="3"/>
        <v>45979.17712615741</v>
      </c>
    </row>
    <row r="109" spans="1:10" x14ac:dyDescent="0.2">
      <c r="A109" s="4" t="s">
        <v>28</v>
      </c>
      <c r="B109" s="4" t="s">
        <v>42</v>
      </c>
      <c r="C109" s="4" t="s">
        <v>66</v>
      </c>
      <c r="D109" s="4" t="s">
        <v>72</v>
      </c>
      <c r="E109" s="4">
        <v>1923.66</v>
      </c>
      <c r="F109" s="4">
        <v>9</v>
      </c>
      <c r="G109" s="4">
        <v>0.2</v>
      </c>
      <c r="H109" s="27">
        <v>45580</v>
      </c>
      <c r="I109" s="4">
        <v>769.46</v>
      </c>
      <c r="J109" s="4">
        <f t="shared" ca="1" si="3"/>
        <v>45979.17712615741</v>
      </c>
    </row>
    <row r="110" spans="1:10" x14ac:dyDescent="0.2">
      <c r="A110" s="4" t="s">
        <v>26</v>
      </c>
      <c r="B110" s="4" t="s">
        <v>63</v>
      </c>
      <c r="C110" s="4" t="s">
        <v>70</v>
      </c>
      <c r="D110" s="4" t="s">
        <v>72</v>
      </c>
      <c r="E110" s="4">
        <v>728.71</v>
      </c>
      <c r="F110" s="4">
        <v>14</v>
      </c>
      <c r="G110" s="4">
        <v>0.1</v>
      </c>
      <c r="H110" s="27">
        <v>45581</v>
      </c>
      <c r="I110" s="4">
        <v>327.92</v>
      </c>
      <c r="J110" s="4">
        <f t="shared" ca="1" si="3"/>
        <v>45979.17712615741</v>
      </c>
    </row>
    <row r="111" spans="1:10" x14ac:dyDescent="0.2">
      <c r="A111" s="4" t="s">
        <v>9</v>
      </c>
      <c r="B111" s="4" t="s">
        <v>46</v>
      </c>
      <c r="C111" s="4" t="s">
        <v>70</v>
      </c>
      <c r="D111" s="4" t="s">
        <v>72</v>
      </c>
      <c r="E111" s="4">
        <v>1301.8900000000001</v>
      </c>
      <c r="F111" s="4">
        <v>7</v>
      </c>
      <c r="G111" s="4">
        <v>0.15</v>
      </c>
      <c r="H111" s="27">
        <v>45581</v>
      </c>
      <c r="I111" s="4">
        <v>553.29999999999995</v>
      </c>
      <c r="J111" s="4">
        <f t="shared" ca="1" si="3"/>
        <v>45979.17712615741</v>
      </c>
    </row>
    <row r="112" spans="1:10" x14ac:dyDescent="0.2">
      <c r="A112" s="4" t="s">
        <v>34</v>
      </c>
      <c r="B112" s="4" t="s">
        <v>63</v>
      </c>
      <c r="C112" s="4" t="s">
        <v>67</v>
      </c>
      <c r="D112" s="4" t="s">
        <v>71</v>
      </c>
      <c r="E112" s="4">
        <v>980.18</v>
      </c>
      <c r="F112" s="4">
        <v>16</v>
      </c>
      <c r="G112" s="4">
        <v>0.1</v>
      </c>
      <c r="H112" s="27">
        <v>45582</v>
      </c>
      <c r="I112" s="4">
        <v>352.86</v>
      </c>
      <c r="J112" s="4">
        <f t="shared" ca="1" si="3"/>
        <v>45979.17712615741</v>
      </c>
    </row>
    <row r="113" spans="1:10" x14ac:dyDescent="0.2">
      <c r="A113" s="4" t="s">
        <v>37</v>
      </c>
      <c r="B113" s="4" t="s">
        <v>42</v>
      </c>
      <c r="C113" s="4" t="s">
        <v>66</v>
      </c>
      <c r="D113" s="4" t="s">
        <v>72</v>
      </c>
      <c r="E113" s="4">
        <v>697.57</v>
      </c>
      <c r="F113" s="4">
        <v>17</v>
      </c>
      <c r="G113" s="4">
        <v>0.1</v>
      </c>
      <c r="H113" s="27">
        <v>45584</v>
      </c>
      <c r="I113" s="4">
        <v>313.91000000000003</v>
      </c>
      <c r="J113" s="4">
        <f t="shared" ca="1" si="3"/>
        <v>45979.17712615741</v>
      </c>
    </row>
    <row r="114" spans="1:10" x14ac:dyDescent="0.2">
      <c r="A114" s="4" t="s">
        <v>23</v>
      </c>
      <c r="B114" s="4" t="s">
        <v>65</v>
      </c>
      <c r="C114" s="4" t="s">
        <v>66</v>
      </c>
      <c r="D114" s="4" t="s">
        <v>74</v>
      </c>
      <c r="E114" s="4">
        <v>1193.6099999999999</v>
      </c>
      <c r="F114" s="4">
        <v>1</v>
      </c>
      <c r="G114" s="4">
        <v>0.15</v>
      </c>
      <c r="H114" s="27">
        <v>45584</v>
      </c>
      <c r="I114" s="4">
        <v>355.1</v>
      </c>
      <c r="J114" s="4">
        <f t="shared" ca="1" si="3"/>
        <v>45979.17712615741</v>
      </c>
    </row>
    <row r="115" spans="1:10" x14ac:dyDescent="0.2">
      <c r="A115" s="4" t="s">
        <v>17</v>
      </c>
      <c r="B115" s="4" t="s">
        <v>48</v>
      </c>
      <c r="C115" s="4" t="s">
        <v>68</v>
      </c>
      <c r="D115" s="4" t="s">
        <v>73</v>
      </c>
      <c r="E115" s="4">
        <v>771.02</v>
      </c>
      <c r="F115" s="4">
        <v>1</v>
      </c>
      <c r="G115" s="4">
        <v>0</v>
      </c>
      <c r="H115" s="27">
        <v>45585</v>
      </c>
      <c r="I115" s="4">
        <v>192.76</v>
      </c>
      <c r="J115" s="4">
        <f t="shared" ca="1" si="3"/>
        <v>45979.17712615741</v>
      </c>
    </row>
    <row r="116" spans="1:10" x14ac:dyDescent="0.2">
      <c r="A116" s="4" t="s">
        <v>32</v>
      </c>
      <c r="B116" s="4" t="s">
        <v>64</v>
      </c>
      <c r="C116" s="4" t="s">
        <v>69</v>
      </c>
      <c r="D116" s="4" t="s">
        <v>72</v>
      </c>
      <c r="E116" s="4">
        <v>661.09</v>
      </c>
      <c r="F116" s="4">
        <v>1</v>
      </c>
      <c r="G116" s="4">
        <v>0.2</v>
      </c>
      <c r="H116" s="27">
        <v>45593</v>
      </c>
      <c r="I116" s="4">
        <v>264.44</v>
      </c>
      <c r="J116" s="4">
        <f t="shared" ca="1" si="3"/>
        <v>45979.17712615741</v>
      </c>
    </row>
    <row r="117" spans="1:10" x14ac:dyDescent="0.2">
      <c r="A117" s="4" t="s">
        <v>10</v>
      </c>
      <c r="B117" s="4" t="s">
        <v>57</v>
      </c>
      <c r="C117" s="4" t="s">
        <v>66</v>
      </c>
      <c r="D117" s="4" t="s">
        <v>73</v>
      </c>
      <c r="E117" s="4">
        <v>688.83</v>
      </c>
      <c r="F117" s="4">
        <v>15</v>
      </c>
      <c r="G117" s="4">
        <v>0</v>
      </c>
      <c r="H117" s="27">
        <v>45595</v>
      </c>
      <c r="I117" s="4">
        <v>172.21</v>
      </c>
      <c r="J117" s="4">
        <f t="shared" ca="1" si="3"/>
        <v>45979.17712615741</v>
      </c>
    </row>
    <row r="118" spans="1:10" x14ac:dyDescent="0.2">
      <c r="A118" s="4" t="s">
        <v>36</v>
      </c>
      <c r="B118" s="4" t="s">
        <v>44</v>
      </c>
      <c r="C118" s="4" t="s">
        <v>70</v>
      </c>
      <c r="D118" s="4" t="s">
        <v>71</v>
      </c>
      <c r="E118" s="4">
        <v>1249.0999999999999</v>
      </c>
      <c r="F118" s="4">
        <v>4</v>
      </c>
      <c r="G118" s="4">
        <v>0.05</v>
      </c>
      <c r="H118" s="27">
        <v>45597</v>
      </c>
      <c r="I118" s="4">
        <v>474.66</v>
      </c>
      <c r="J118" s="4">
        <f t="shared" ca="1" si="3"/>
        <v>45979.17712615741</v>
      </c>
    </row>
    <row r="119" spans="1:10" x14ac:dyDescent="0.2">
      <c r="A119" s="4" t="s">
        <v>22</v>
      </c>
      <c r="B119" s="4" t="s">
        <v>42</v>
      </c>
      <c r="C119" s="4" t="s">
        <v>67</v>
      </c>
      <c r="D119" s="4" t="s">
        <v>75</v>
      </c>
      <c r="E119" s="4">
        <v>1014.22</v>
      </c>
      <c r="F119" s="4">
        <v>14</v>
      </c>
      <c r="G119" s="4">
        <v>0.05</v>
      </c>
      <c r="H119" s="27">
        <v>45599</v>
      </c>
      <c r="I119" s="4">
        <v>433.58</v>
      </c>
      <c r="J119" s="4">
        <f t="shared" ca="1" si="3"/>
        <v>45979.17712615741</v>
      </c>
    </row>
    <row r="120" spans="1:10" x14ac:dyDescent="0.2">
      <c r="A120" s="4" t="s">
        <v>26</v>
      </c>
      <c r="B120" s="4" t="s">
        <v>53</v>
      </c>
      <c r="C120" s="4" t="s">
        <v>67</v>
      </c>
      <c r="D120" s="4" t="s">
        <v>71</v>
      </c>
      <c r="E120" s="4">
        <v>1010.58</v>
      </c>
      <c r="F120" s="4">
        <v>2</v>
      </c>
      <c r="G120" s="4">
        <v>0.15</v>
      </c>
      <c r="H120" s="27">
        <v>45605</v>
      </c>
      <c r="I120" s="4">
        <v>343.6</v>
      </c>
      <c r="J120" s="4">
        <f t="shared" ca="1" si="3"/>
        <v>45979.17712615741</v>
      </c>
    </row>
    <row r="121" spans="1:10" x14ac:dyDescent="0.2">
      <c r="A121" s="4" t="s">
        <v>16</v>
      </c>
      <c r="B121" s="4" t="s">
        <v>59</v>
      </c>
      <c r="C121" s="4" t="s">
        <v>69</v>
      </c>
      <c r="D121" s="4" t="s">
        <v>74</v>
      </c>
      <c r="E121" s="4">
        <v>957.29</v>
      </c>
      <c r="F121" s="4">
        <v>4</v>
      </c>
      <c r="G121" s="4">
        <v>0.05</v>
      </c>
      <c r="H121" s="27">
        <v>45605</v>
      </c>
      <c r="I121" s="4">
        <v>318.3</v>
      </c>
      <c r="J121" s="4">
        <f t="shared" ca="1" si="3"/>
        <v>45979.17712615741</v>
      </c>
    </row>
    <row r="122" spans="1:10" x14ac:dyDescent="0.2">
      <c r="A122" s="4" t="s">
        <v>15</v>
      </c>
      <c r="B122" s="4" t="s">
        <v>51</v>
      </c>
      <c r="C122" s="4" t="s">
        <v>69</v>
      </c>
      <c r="D122" s="4" t="s">
        <v>74</v>
      </c>
      <c r="E122" s="4">
        <v>1077.92</v>
      </c>
      <c r="F122" s="4">
        <v>3</v>
      </c>
      <c r="G122" s="4">
        <v>0.05</v>
      </c>
      <c r="H122" s="27">
        <v>45608</v>
      </c>
      <c r="I122" s="4">
        <v>358.41</v>
      </c>
      <c r="J122" s="4">
        <f t="shared" ca="1" si="3"/>
        <v>45979.17712615741</v>
      </c>
    </row>
    <row r="123" spans="1:10" x14ac:dyDescent="0.2">
      <c r="A123" s="4" t="s">
        <v>25</v>
      </c>
      <c r="B123" s="4" t="s">
        <v>54</v>
      </c>
      <c r="C123" s="4" t="s">
        <v>68</v>
      </c>
      <c r="D123" s="4" t="s">
        <v>72</v>
      </c>
      <c r="E123" s="4">
        <v>1163.01</v>
      </c>
      <c r="F123" s="4">
        <v>5</v>
      </c>
      <c r="G123" s="4">
        <v>0</v>
      </c>
      <c r="H123" s="27">
        <v>45611</v>
      </c>
      <c r="I123" s="4">
        <v>581.5</v>
      </c>
      <c r="J123" s="4">
        <f t="shared" ca="1" si="3"/>
        <v>45979.17712615741</v>
      </c>
    </row>
    <row r="124" spans="1:10" x14ac:dyDescent="0.2">
      <c r="A124" s="4" t="s">
        <v>26</v>
      </c>
      <c r="B124" s="4" t="s">
        <v>51</v>
      </c>
      <c r="C124" s="4" t="s">
        <v>67</v>
      </c>
      <c r="D124" s="4" t="s">
        <v>75</v>
      </c>
      <c r="E124" s="4">
        <v>1014.56</v>
      </c>
      <c r="F124" s="4">
        <v>10</v>
      </c>
      <c r="G124" s="4">
        <v>0.1</v>
      </c>
      <c r="H124" s="27">
        <v>45612</v>
      </c>
      <c r="I124" s="4">
        <v>410.9</v>
      </c>
      <c r="J124" s="4">
        <f t="shared" ca="1" si="3"/>
        <v>45979.17712615741</v>
      </c>
    </row>
    <row r="125" spans="1:10" x14ac:dyDescent="0.2">
      <c r="A125" s="4" t="s">
        <v>9</v>
      </c>
      <c r="B125" s="4" t="s">
        <v>41</v>
      </c>
      <c r="C125" s="4" t="s">
        <v>68</v>
      </c>
      <c r="D125" s="4" t="s">
        <v>73</v>
      </c>
      <c r="E125" s="4">
        <v>718.04</v>
      </c>
      <c r="F125" s="4">
        <v>14</v>
      </c>
      <c r="G125" s="4">
        <v>0</v>
      </c>
      <c r="H125" s="27">
        <v>45613</v>
      </c>
      <c r="I125" s="4">
        <v>179.51</v>
      </c>
      <c r="J125" s="4">
        <f t="shared" ca="1" si="3"/>
        <v>45979.17712615741</v>
      </c>
    </row>
    <row r="126" spans="1:10" x14ac:dyDescent="0.2">
      <c r="A126" s="4" t="s">
        <v>35</v>
      </c>
      <c r="B126" s="4" t="s">
        <v>41</v>
      </c>
      <c r="C126" s="4" t="s">
        <v>70</v>
      </c>
      <c r="D126" s="4" t="s">
        <v>72</v>
      </c>
      <c r="E126" s="4">
        <v>1277.8499999999999</v>
      </c>
      <c r="F126" s="4">
        <v>18</v>
      </c>
      <c r="G126" s="4">
        <v>0.2</v>
      </c>
      <c r="H126" s="27">
        <v>45613</v>
      </c>
      <c r="I126" s="4">
        <v>511.14</v>
      </c>
      <c r="J126" s="4">
        <f t="shared" ca="1" si="3"/>
        <v>45979.17712615741</v>
      </c>
    </row>
    <row r="127" spans="1:10" x14ac:dyDescent="0.2">
      <c r="A127" s="4" t="s">
        <v>34</v>
      </c>
      <c r="B127" s="4" t="s">
        <v>42</v>
      </c>
      <c r="C127" s="4" t="s">
        <v>69</v>
      </c>
      <c r="D127" s="4" t="s">
        <v>73</v>
      </c>
      <c r="E127" s="4">
        <v>706.73</v>
      </c>
      <c r="F127" s="4">
        <v>1</v>
      </c>
      <c r="G127" s="4">
        <v>0.15</v>
      </c>
      <c r="H127" s="27">
        <v>45613</v>
      </c>
      <c r="I127" s="4">
        <v>150.18</v>
      </c>
      <c r="J127" s="4">
        <f t="shared" ca="1" si="3"/>
        <v>45979.17712615741</v>
      </c>
    </row>
    <row r="128" spans="1:10" x14ac:dyDescent="0.2">
      <c r="A128" s="4" t="s">
        <v>31</v>
      </c>
      <c r="B128" s="4" t="s">
        <v>54</v>
      </c>
      <c r="C128" s="4" t="s">
        <v>67</v>
      </c>
      <c r="D128" s="4" t="s">
        <v>73</v>
      </c>
      <c r="E128" s="4">
        <v>1410.59</v>
      </c>
      <c r="F128" s="4">
        <v>15</v>
      </c>
      <c r="G128" s="4">
        <v>0</v>
      </c>
      <c r="H128" s="27">
        <v>45615</v>
      </c>
      <c r="I128" s="4">
        <v>352.65</v>
      </c>
      <c r="J128" s="4">
        <f t="shared" ca="1" si="3"/>
        <v>45979.17712615741</v>
      </c>
    </row>
    <row r="129" spans="1:10" x14ac:dyDescent="0.2">
      <c r="A129" s="4" t="s">
        <v>17</v>
      </c>
      <c r="B129" s="4" t="s">
        <v>60</v>
      </c>
      <c r="C129" s="4" t="s">
        <v>68</v>
      </c>
      <c r="D129" s="4" t="s">
        <v>74</v>
      </c>
      <c r="E129" s="4">
        <v>1350.33</v>
      </c>
      <c r="F129" s="4">
        <v>10</v>
      </c>
      <c r="G129" s="4">
        <v>0</v>
      </c>
      <c r="H129" s="27">
        <v>45615</v>
      </c>
      <c r="I129" s="4">
        <v>472.62</v>
      </c>
      <c r="J129" s="4">
        <f t="shared" ca="1" si="3"/>
        <v>45979.17712615741</v>
      </c>
    </row>
    <row r="130" spans="1:10" x14ac:dyDescent="0.2">
      <c r="A130" s="4" t="s">
        <v>21</v>
      </c>
      <c r="B130" s="4" t="s">
        <v>51</v>
      </c>
      <c r="C130" s="4" t="s">
        <v>67</v>
      </c>
      <c r="D130" s="4" t="s">
        <v>73</v>
      </c>
      <c r="E130" s="4">
        <v>919.18</v>
      </c>
      <c r="F130" s="4">
        <v>4</v>
      </c>
      <c r="G130" s="4">
        <v>0.15</v>
      </c>
      <c r="H130" s="27">
        <v>45615</v>
      </c>
      <c r="I130" s="4">
        <v>195.33</v>
      </c>
      <c r="J130" s="4">
        <f t="shared" ref="J130:J161" ca="1" si="4">NOW()</f>
        <v>45979.17712615741</v>
      </c>
    </row>
    <row r="131" spans="1:10" x14ac:dyDescent="0.2">
      <c r="A131" s="4" t="s">
        <v>37</v>
      </c>
      <c r="B131" s="4" t="s">
        <v>42</v>
      </c>
      <c r="C131" s="4" t="s">
        <v>66</v>
      </c>
      <c r="D131" s="4" t="s">
        <v>73</v>
      </c>
      <c r="E131" s="4">
        <v>258.51</v>
      </c>
      <c r="F131" s="4">
        <v>19</v>
      </c>
      <c r="G131" s="4">
        <v>0</v>
      </c>
      <c r="H131" s="27">
        <v>45616</v>
      </c>
      <c r="I131" s="4">
        <v>64.63</v>
      </c>
      <c r="J131" s="4">
        <f t="shared" ca="1" si="4"/>
        <v>45979.17712615741</v>
      </c>
    </row>
    <row r="132" spans="1:10" x14ac:dyDescent="0.2">
      <c r="A132" s="4" t="s">
        <v>30</v>
      </c>
      <c r="B132" s="4" t="s">
        <v>60</v>
      </c>
      <c r="C132" s="4" t="s">
        <v>67</v>
      </c>
      <c r="D132" s="4" t="s">
        <v>71</v>
      </c>
      <c r="E132" s="4">
        <v>1213.48</v>
      </c>
      <c r="F132" s="4">
        <v>5</v>
      </c>
      <c r="G132" s="4">
        <v>0.05</v>
      </c>
      <c r="H132" s="27">
        <v>45616</v>
      </c>
      <c r="I132" s="4">
        <v>461.12</v>
      </c>
      <c r="J132" s="4">
        <f t="shared" ca="1" si="4"/>
        <v>45979.17712615741</v>
      </c>
    </row>
    <row r="133" spans="1:10" x14ac:dyDescent="0.2">
      <c r="A133" s="4" t="s">
        <v>27</v>
      </c>
      <c r="B133" s="4" t="s">
        <v>48</v>
      </c>
      <c r="C133" s="4" t="s">
        <v>70</v>
      </c>
      <c r="D133" s="4" t="s">
        <v>71</v>
      </c>
      <c r="E133" s="4">
        <v>1150.28</v>
      </c>
      <c r="F133" s="4">
        <v>8</v>
      </c>
      <c r="G133" s="4">
        <v>0.05</v>
      </c>
      <c r="H133" s="27">
        <v>45622</v>
      </c>
      <c r="I133" s="4">
        <v>437.11</v>
      </c>
      <c r="J133" s="4">
        <f t="shared" ca="1" si="4"/>
        <v>45979.17712615741</v>
      </c>
    </row>
    <row r="134" spans="1:10" x14ac:dyDescent="0.2">
      <c r="A134" s="4" t="s">
        <v>19</v>
      </c>
      <c r="B134" s="4" t="s">
        <v>65</v>
      </c>
      <c r="C134" s="4" t="s">
        <v>68</v>
      </c>
      <c r="D134" s="4" t="s">
        <v>74</v>
      </c>
      <c r="E134" s="4">
        <v>853.86</v>
      </c>
      <c r="F134" s="4">
        <v>8</v>
      </c>
      <c r="G134" s="4">
        <v>0.1</v>
      </c>
      <c r="H134" s="27">
        <v>45622</v>
      </c>
      <c r="I134" s="4">
        <v>268.97000000000003</v>
      </c>
      <c r="J134" s="4">
        <f t="shared" ca="1" si="4"/>
        <v>45979.17712615741</v>
      </c>
    </row>
    <row r="135" spans="1:10" x14ac:dyDescent="0.2">
      <c r="A135" s="4" t="s">
        <v>38</v>
      </c>
      <c r="B135" s="4" t="s">
        <v>51</v>
      </c>
      <c r="C135" s="4" t="s">
        <v>68</v>
      </c>
      <c r="D135" s="4" t="s">
        <v>73</v>
      </c>
      <c r="E135" s="4">
        <v>1061.04</v>
      </c>
      <c r="F135" s="4">
        <v>1</v>
      </c>
      <c r="G135" s="4">
        <v>0</v>
      </c>
      <c r="H135" s="27">
        <v>45624</v>
      </c>
      <c r="I135" s="4">
        <v>265.26</v>
      </c>
      <c r="J135" s="4">
        <f t="shared" ca="1" si="4"/>
        <v>45979.17712615741</v>
      </c>
    </row>
    <row r="136" spans="1:10" x14ac:dyDescent="0.2">
      <c r="A136" s="4" t="s">
        <v>15</v>
      </c>
      <c r="B136" s="4" t="s">
        <v>50</v>
      </c>
      <c r="C136" s="4" t="s">
        <v>66</v>
      </c>
      <c r="D136" s="4" t="s">
        <v>73</v>
      </c>
      <c r="E136" s="4">
        <v>894.55</v>
      </c>
      <c r="F136" s="4">
        <v>19</v>
      </c>
      <c r="G136" s="4">
        <v>0.2</v>
      </c>
      <c r="H136" s="27">
        <v>45625</v>
      </c>
      <c r="I136" s="4">
        <v>178.91</v>
      </c>
      <c r="J136" s="4">
        <f t="shared" ca="1" si="4"/>
        <v>45979.17712615741</v>
      </c>
    </row>
    <row r="137" spans="1:10" x14ac:dyDescent="0.2">
      <c r="A137" s="4" t="s">
        <v>14</v>
      </c>
      <c r="B137" s="4" t="s">
        <v>48</v>
      </c>
      <c r="C137" s="4" t="s">
        <v>69</v>
      </c>
      <c r="D137" s="4" t="s">
        <v>75</v>
      </c>
      <c r="E137" s="4">
        <v>833.91</v>
      </c>
      <c r="F137" s="4">
        <v>3</v>
      </c>
      <c r="G137" s="4">
        <v>0.05</v>
      </c>
      <c r="H137" s="27">
        <v>45626</v>
      </c>
      <c r="I137" s="4">
        <v>356.5</v>
      </c>
      <c r="J137" s="4">
        <f t="shared" ca="1" si="4"/>
        <v>45979.17712615741</v>
      </c>
    </row>
    <row r="138" spans="1:10" x14ac:dyDescent="0.2">
      <c r="A138" s="4" t="s">
        <v>28</v>
      </c>
      <c r="B138" s="4" t="s">
        <v>65</v>
      </c>
      <c r="C138" s="4" t="s">
        <v>66</v>
      </c>
      <c r="D138" s="4" t="s">
        <v>74</v>
      </c>
      <c r="E138" s="4">
        <v>820.19</v>
      </c>
      <c r="F138" s="4">
        <v>4</v>
      </c>
      <c r="G138" s="4">
        <v>0.2</v>
      </c>
      <c r="H138" s="27">
        <v>45630</v>
      </c>
      <c r="I138" s="4">
        <v>229.65</v>
      </c>
      <c r="J138" s="4">
        <f t="shared" ca="1" si="4"/>
        <v>45979.17712615741</v>
      </c>
    </row>
    <row r="139" spans="1:10" x14ac:dyDescent="0.2">
      <c r="A139" s="4" t="s">
        <v>28</v>
      </c>
      <c r="B139" s="4" t="s">
        <v>48</v>
      </c>
      <c r="C139" s="4" t="s">
        <v>70</v>
      </c>
      <c r="D139" s="4" t="s">
        <v>73</v>
      </c>
      <c r="E139" s="4">
        <v>511.74</v>
      </c>
      <c r="F139" s="4">
        <v>8</v>
      </c>
      <c r="G139" s="4">
        <v>0.05</v>
      </c>
      <c r="H139" s="27">
        <v>45631</v>
      </c>
      <c r="I139" s="4">
        <v>121.54</v>
      </c>
      <c r="J139" s="4">
        <f t="shared" ca="1" si="4"/>
        <v>45979.17712615741</v>
      </c>
    </row>
    <row r="140" spans="1:10" x14ac:dyDescent="0.2">
      <c r="A140" s="4" t="s">
        <v>31</v>
      </c>
      <c r="B140" s="4" t="s">
        <v>60</v>
      </c>
      <c r="C140" s="4" t="s">
        <v>68</v>
      </c>
      <c r="D140" s="4" t="s">
        <v>74</v>
      </c>
      <c r="E140" s="4">
        <v>806.03</v>
      </c>
      <c r="F140" s="4">
        <v>19</v>
      </c>
      <c r="G140" s="4">
        <v>0.05</v>
      </c>
      <c r="H140" s="27">
        <v>45638</v>
      </c>
      <c r="I140" s="4">
        <v>268</v>
      </c>
      <c r="J140" s="4">
        <f t="shared" ca="1" si="4"/>
        <v>45979.17712615741</v>
      </c>
    </row>
    <row r="141" spans="1:10" x14ac:dyDescent="0.2">
      <c r="A141" s="4" t="s">
        <v>15</v>
      </c>
      <c r="B141" s="4" t="s">
        <v>43</v>
      </c>
      <c r="C141" s="4" t="s">
        <v>70</v>
      </c>
      <c r="D141" s="4" t="s">
        <v>74</v>
      </c>
      <c r="E141" s="4">
        <v>1432.47</v>
      </c>
      <c r="F141" s="4">
        <v>16</v>
      </c>
      <c r="G141" s="4">
        <v>0.15</v>
      </c>
      <c r="H141" s="27">
        <v>45640</v>
      </c>
      <c r="I141" s="4">
        <v>426.16</v>
      </c>
      <c r="J141" s="4">
        <f t="shared" ca="1" si="4"/>
        <v>45979.17712615741</v>
      </c>
    </row>
    <row r="142" spans="1:10" x14ac:dyDescent="0.2">
      <c r="A142" s="4" t="s">
        <v>37</v>
      </c>
      <c r="B142" s="4" t="s">
        <v>44</v>
      </c>
      <c r="C142" s="4" t="s">
        <v>70</v>
      </c>
      <c r="D142" s="4" t="s">
        <v>73</v>
      </c>
      <c r="E142" s="4">
        <v>1488.58</v>
      </c>
      <c r="F142" s="4">
        <v>10</v>
      </c>
      <c r="G142" s="4">
        <v>0.15</v>
      </c>
      <c r="H142" s="27">
        <v>45640</v>
      </c>
      <c r="I142" s="4">
        <v>316.32</v>
      </c>
      <c r="J142" s="4">
        <f t="shared" ca="1" si="4"/>
        <v>45979.17712615741</v>
      </c>
    </row>
    <row r="143" spans="1:10" x14ac:dyDescent="0.2">
      <c r="A143" s="4" t="s">
        <v>16</v>
      </c>
      <c r="B143" s="4" t="s">
        <v>63</v>
      </c>
      <c r="C143" s="4" t="s">
        <v>67</v>
      </c>
      <c r="D143" s="4" t="s">
        <v>71</v>
      </c>
      <c r="E143" s="4">
        <v>1231.26</v>
      </c>
      <c r="F143" s="4">
        <v>9</v>
      </c>
      <c r="G143" s="4">
        <v>0</v>
      </c>
      <c r="H143" s="27">
        <v>45646</v>
      </c>
      <c r="I143" s="4">
        <v>492.5</v>
      </c>
      <c r="J143" s="4">
        <f t="shared" ca="1" si="4"/>
        <v>45979.17712615741</v>
      </c>
    </row>
    <row r="144" spans="1:10" x14ac:dyDescent="0.2">
      <c r="A144" s="4" t="s">
        <v>16</v>
      </c>
      <c r="B144" s="4" t="s">
        <v>50</v>
      </c>
      <c r="C144" s="4" t="s">
        <v>66</v>
      </c>
      <c r="D144" s="4" t="s">
        <v>73</v>
      </c>
      <c r="E144" s="4">
        <v>1161.67</v>
      </c>
      <c r="F144" s="4">
        <v>19</v>
      </c>
      <c r="G144" s="4">
        <v>0.2</v>
      </c>
      <c r="H144" s="27">
        <v>45647</v>
      </c>
      <c r="I144" s="4">
        <v>232.33</v>
      </c>
      <c r="J144" s="4">
        <f t="shared" ca="1" si="4"/>
        <v>45979.17712615741</v>
      </c>
    </row>
    <row r="145" spans="1:10" x14ac:dyDescent="0.2">
      <c r="A145" s="4" t="s">
        <v>24</v>
      </c>
      <c r="B145" s="4" t="s">
        <v>51</v>
      </c>
      <c r="C145" s="4" t="s">
        <v>70</v>
      </c>
      <c r="D145" s="4" t="s">
        <v>75</v>
      </c>
      <c r="E145" s="4">
        <v>388.23</v>
      </c>
      <c r="F145" s="4">
        <v>16</v>
      </c>
      <c r="G145" s="4">
        <v>0.05</v>
      </c>
      <c r="H145" s="27">
        <v>45650</v>
      </c>
      <c r="I145" s="4">
        <v>165.97</v>
      </c>
      <c r="J145" s="4">
        <f t="shared" ca="1" si="4"/>
        <v>45979.17712615741</v>
      </c>
    </row>
    <row r="146" spans="1:10" x14ac:dyDescent="0.2">
      <c r="A146" s="4" t="s">
        <v>35</v>
      </c>
      <c r="B146" s="4" t="s">
        <v>45</v>
      </c>
      <c r="C146" s="4" t="s">
        <v>69</v>
      </c>
      <c r="D146" s="4" t="s">
        <v>72</v>
      </c>
      <c r="E146" s="4">
        <v>1589.42</v>
      </c>
      <c r="F146" s="4">
        <v>6</v>
      </c>
      <c r="G146" s="4">
        <v>0.15</v>
      </c>
      <c r="H146" s="27">
        <v>45651</v>
      </c>
      <c r="I146" s="4">
        <v>675.5</v>
      </c>
      <c r="J146" s="4">
        <f t="shared" ca="1" si="4"/>
        <v>45979.17712615741</v>
      </c>
    </row>
    <row r="147" spans="1:10" x14ac:dyDescent="0.2">
      <c r="A147" s="4" t="s">
        <v>15</v>
      </c>
      <c r="B147" s="4" t="s">
        <v>65</v>
      </c>
      <c r="C147" s="4" t="s">
        <v>69</v>
      </c>
      <c r="D147" s="4" t="s">
        <v>72</v>
      </c>
      <c r="E147" s="4">
        <v>336.66</v>
      </c>
      <c r="F147" s="4">
        <v>13</v>
      </c>
      <c r="G147" s="4">
        <v>0.2</v>
      </c>
      <c r="H147" s="27">
        <v>45651</v>
      </c>
      <c r="I147" s="4">
        <v>134.66</v>
      </c>
      <c r="J147" s="4">
        <f t="shared" ca="1" si="4"/>
        <v>45979.17712615741</v>
      </c>
    </row>
    <row r="148" spans="1:10" x14ac:dyDescent="0.2">
      <c r="A148" s="4" t="s">
        <v>24</v>
      </c>
      <c r="B148" s="4" t="s">
        <v>42</v>
      </c>
      <c r="C148" s="4" t="s">
        <v>66</v>
      </c>
      <c r="D148" s="4" t="s">
        <v>71</v>
      </c>
      <c r="E148" s="4">
        <v>1353.79</v>
      </c>
      <c r="F148" s="4">
        <v>14</v>
      </c>
      <c r="G148" s="4">
        <v>0.1</v>
      </c>
      <c r="H148" s="27">
        <v>45656</v>
      </c>
      <c r="I148" s="4">
        <v>487.36</v>
      </c>
      <c r="J148" s="4">
        <f t="shared" ca="1" si="4"/>
        <v>45979.17712615741</v>
      </c>
    </row>
    <row r="149" spans="1:10" x14ac:dyDescent="0.2">
      <c r="A149" s="4" t="s">
        <v>30</v>
      </c>
      <c r="B149" s="4" t="s">
        <v>64</v>
      </c>
      <c r="C149" s="4" t="s">
        <v>70</v>
      </c>
      <c r="D149" s="4" t="s">
        <v>72</v>
      </c>
      <c r="E149" s="4">
        <v>662.61</v>
      </c>
      <c r="F149" s="4">
        <v>11</v>
      </c>
      <c r="G149" s="4">
        <v>0.05</v>
      </c>
      <c r="H149" s="27">
        <v>45658</v>
      </c>
      <c r="I149" s="4">
        <v>314.74</v>
      </c>
      <c r="J149" s="4">
        <f t="shared" ca="1" si="4"/>
        <v>45979.17712615741</v>
      </c>
    </row>
    <row r="150" spans="1:10" x14ac:dyDescent="0.2">
      <c r="A150" s="4" t="s">
        <v>25</v>
      </c>
      <c r="B150" s="4" t="s">
        <v>53</v>
      </c>
      <c r="C150" s="4" t="s">
        <v>69</v>
      </c>
      <c r="D150" s="4" t="s">
        <v>75</v>
      </c>
      <c r="E150" s="4">
        <v>309.42</v>
      </c>
      <c r="F150" s="4">
        <v>1</v>
      </c>
      <c r="G150" s="4">
        <v>0.2</v>
      </c>
      <c r="H150" s="27">
        <v>45658</v>
      </c>
      <c r="I150" s="4">
        <v>111.39</v>
      </c>
      <c r="J150" s="4">
        <f t="shared" ca="1" si="4"/>
        <v>45979.17712615741</v>
      </c>
    </row>
    <row r="151" spans="1:10" x14ac:dyDescent="0.2">
      <c r="A151" s="4" t="s">
        <v>30</v>
      </c>
      <c r="B151" s="4" t="s">
        <v>44</v>
      </c>
      <c r="C151" s="4" t="s">
        <v>69</v>
      </c>
      <c r="D151" s="4" t="s">
        <v>71</v>
      </c>
      <c r="E151" s="4">
        <v>884.63</v>
      </c>
      <c r="F151" s="4">
        <v>18</v>
      </c>
      <c r="G151" s="4">
        <v>0.1</v>
      </c>
      <c r="H151" s="27">
        <v>45659</v>
      </c>
      <c r="I151" s="4">
        <v>318.47000000000003</v>
      </c>
      <c r="J151" s="4">
        <f t="shared" ca="1" si="4"/>
        <v>45979.17712615741</v>
      </c>
    </row>
    <row r="152" spans="1:10" x14ac:dyDescent="0.2">
      <c r="A152" s="4" t="s">
        <v>25</v>
      </c>
      <c r="B152" s="4" t="s">
        <v>42</v>
      </c>
      <c r="C152" s="4" t="s">
        <v>70</v>
      </c>
      <c r="D152" s="4" t="s">
        <v>75</v>
      </c>
      <c r="E152" s="4">
        <v>745.05</v>
      </c>
      <c r="F152" s="4">
        <v>10</v>
      </c>
      <c r="G152" s="4">
        <v>0.1</v>
      </c>
      <c r="H152" s="27">
        <v>45660</v>
      </c>
      <c r="I152" s="4">
        <v>301.75</v>
      </c>
      <c r="J152" s="4">
        <f t="shared" ca="1" si="4"/>
        <v>45979.17712615741</v>
      </c>
    </row>
    <row r="153" spans="1:10" x14ac:dyDescent="0.2">
      <c r="A153" s="4" t="s">
        <v>29</v>
      </c>
      <c r="B153" s="4" t="s">
        <v>41</v>
      </c>
      <c r="C153" s="4" t="s">
        <v>68</v>
      </c>
      <c r="D153" s="4" t="s">
        <v>72</v>
      </c>
      <c r="E153" s="4">
        <v>870.23</v>
      </c>
      <c r="F153" s="4">
        <v>5</v>
      </c>
      <c r="G153" s="4">
        <v>0.05</v>
      </c>
      <c r="H153" s="27">
        <v>45660</v>
      </c>
      <c r="I153" s="4">
        <v>413.36</v>
      </c>
      <c r="J153" s="4">
        <f t="shared" ca="1" si="4"/>
        <v>45979.17712615741</v>
      </c>
    </row>
    <row r="154" spans="1:10" x14ac:dyDescent="0.2">
      <c r="A154" s="4" t="s">
        <v>18</v>
      </c>
      <c r="B154" s="4" t="s">
        <v>44</v>
      </c>
      <c r="C154" s="4" t="s">
        <v>66</v>
      </c>
      <c r="D154" s="4" t="s">
        <v>74</v>
      </c>
      <c r="E154" s="4">
        <v>862.19</v>
      </c>
      <c r="F154" s="4">
        <v>18</v>
      </c>
      <c r="G154" s="4">
        <v>0.05</v>
      </c>
      <c r="H154" s="27">
        <v>45663</v>
      </c>
      <c r="I154" s="4">
        <v>286.68</v>
      </c>
      <c r="J154" s="4">
        <f t="shared" ca="1" si="4"/>
        <v>45979.17712615741</v>
      </c>
    </row>
    <row r="155" spans="1:10" x14ac:dyDescent="0.2">
      <c r="A155" s="4" t="s">
        <v>36</v>
      </c>
      <c r="B155" s="4" t="s">
        <v>59</v>
      </c>
      <c r="C155" s="4" t="s">
        <v>69</v>
      </c>
      <c r="D155" s="4" t="s">
        <v>72</v>
      </c>
      <c r="E155" s="4">
        <v>1171.18</v>
      </c>
      <c r="F155" s="4">
        <v>19</v>
      </c>
      <c r="G155" s="4">
        <v>0.05</v>
      </c>
      <c r="H155" s="27">
        <v>45667</v>
      </c>
      <c r="I155" s="4">
        <v>556.30999999999995</v>
      </c>
      <c r="J155" s="4">
        <f t="shared" ca="1" si="4"/>
        <v>45979.17712615741</v>
      </c>
    </row>
    <row r="156" spans="1:10" x14ac:dyDescent="0.2">
      <c r="A156" s="4" t="s">
        <v>28</v>
      </c>
      <c r="B156" s="4" t="s">
        <v>40</v>
      </c>
      <c r="C156" s="4" t="s">
        <v>68</v>
      </c>
      <c r="D156" s="4" t="s">
        <v>74</v>
      </c>
      <c r="E156" s="4">
        <v>1054.56</v>
      </c>
      <c r="F156" s="4">
        <v>11</v>
      </c>
      <c r="G156" s="4">
        <v>0.1</v>
      </c>
      <c r="H156" s="27">
        <v>45669</v>
      </c>
      <c r="I156" s="4">
        <v>332.19</v>
      </c>
      <c r="J156" s="4">
        <f t="shared" ca="1" si="4"/>
        <v>45979.17712615741</v>
      </c>
    </row>
    <row r="157" spans="1:10" x14ac:dyDescent="0.2">
      <c r="A157" s="4" t="s">
        <v>28</v>
      </c>
      <c r="B157" s="4" t="s">
        <v>42</v>
      </c>
      <c r="C157" s="4" t="s">
        <v>69</v>
      </c>
      <c r="D157" s="4" t="s">
        <v>73</v>
      </c>
      <c r="E157" s="4">
        <v>1681.21</v>
      </c>
      <c r="F157" s="4">
        <v>5</v>
      </c>
      <c r="G157" s="4">
        <v>0.2</v>
      </c>
      <c r="H157" s="27">
        <v>45670</v>
      </c>
      <c r="I157" s="4">
        <v>336.24</v>
      </c>
      <c r="J157" s="4">
        <f t="shared" ca="1" si="4"/>
        <v>45979.17712615741</v>
      </c>
    </row>
    <row r="158" spans="1:10" x14ac:dyDescent="0.2">
      <c r="A158" s="4" t="s">
        <v>28</v>
      </c>
      <c r="B158" s="4" t="s">
        <v>47</v>
      </c>
      <c r="C158" s="4" t="s">
        <v>66</v>
      </c>
      <c r="D158" s="4" t="s">
        <v>72</v>
      </c>
      <c r="E158" s="4">
        <v>379.77</v>
      </c>
      <c r="F158" s="4">
        <v>9</v>
      </c>
      <c r="G158" s="4">
        <v>0.05</v>
      </c>
      <c r="H158" s="27">
        <v>45673</v>
      </c>
      <c r="I158" s="4">
        <v>180.39</v>
      </c>
      <c r="J158" s="4">
        <f t="shared" ca="1" si="4"/>
        <v>45979.17712615741</v>
      </c>
    </row>
    <row r="159" spans="1:10" x14ac:dyDescent="0.2">
      <c r="A159" s="4" t="s">
        <v>22</v>
      </c>
      <c r="B159" s="4" t="s">
        <v>51</v>
      </c>
      <c r="C159" s="4" t="s">
        <v>70</v>
      </c>
      <c r="D159" s="4" t="s">
        <v>72</v>
      </c>
      <c r="E159" s="4">
        <v>1076.33</v>
      </c>
      <c r="F159" s="4">
        <v>2</v>
      </c>
      <c r="G159" s="4">
        <v>0.1</v>
      </c>
      <c r="H159" s="27">
        <v>45674</v>
      </c>
      <c r="I159" s="4">
        <v>484.35</v>
      </c>
      <c r="J159" s="4">
        <f t="shared" ca="1" si="4"/>
        <v>45979.17712615741</v>
      </c>
    </row>
    <row r="160" spans="1:10" x14ac:dyDescent="0.2">
      <c r="A160" s="4" t="s">
        <v>22</v>
      </c>
      <c r="B160" s="4" t="s">
        <v>45</v>
      </c>
      <c r="C160" s="4" t="s">
        <v>70</v>
      </c>
      <c r="D160" s="4" t="s">
        <v>75</v>
      </c>
      <c r="E160" s="4">
        <v>1250.71</v>
      </c>
      <c r="F160" s="4">
        <v>7</v>
      </c>
      <c r="G160" s="4">
        <v>0</v>
      </c>
      <c r="H160" s="27">
        <v>45674</v>
      </c>
      <c r="I160" s="4">
        <v>562.82000000000005</v>
      </c>
      <c r="J160" s="4">
        <f t="shared" ca="1" si="4"/>
        <v>45979.17712615741</v>
      </c>
    </row>
    <row r="161" spans="1:10" x14ac:dyDescent="0.2">
      <c r="A161" s="4" t="s">
        <v>20</v>
      </c>
      <c r="B161" s="4" t="s">
        <v>41</v>
      </c>
      <c r="C161" s="4" t="s">
        <v>68</v>
      </c>
      <c r="D161" s="4" t="s">
        <v>72</v>
      </c>
      <c r="E161" s="4">
        <v>1118.3399999999999</v>
      </c>
      <c r="F161" s="4">
        <v>6</v>
      </c>
      <c r="G161" s="4">
        <v>0.2</v>
      </c>
      <c r="H161" s="27">
        <v>45674</v>
      </c>
      <c r="I161" s="4">
        <v>447.34</v>
      </c>
      <c r="J161" s="4">
        <f t="shared" ca="1" si="4"/>
        <v>45979.17712615741</v>
      </c>
    </row>
    <row r="162" spans="1:10" x14ac:dyDescent="0.2">
      <c r="A162" s="4" t="s">
        <v>34</v>
      </c>
      <c r="B162" s="4" t="s">
        <v>56</v>
      </c>
      <c r="C162" s="4" t="s">
        <v>69</v>
      </c>
      <c r="D162" s="4" t="s">
        <v>72</v>
      </c>
      <c r="E162" s="4">
        <v>1622.62</v>
      </c>
      <c r="F162" s="4">
        <v>12</v>
      </c>
      <c r="G162" s="4">
        <v>0.2</v>
      </c>
      <c r="H162" s="27">
        <v>45677</v>
      </c>
      <c r="I162" s="4">
        <v>649.04999999999995</v>
      </c>
      <c r="J162" s="4">
        <f t="shared" ref="J162:J193" ca="1" si="5">NOW()</f>
        <v>45979.17712615741</v>
      </c>
    </row>
    <row r="163" spans="1:10" x14ac:dyDescent="0.2">
      <c r="A163" s="4" t="s">
        <v>38</v>
      </c>
      <c r="B163" s="4" t="s">
        <v>53</v>
      </c>
      <c r="C163" s="4" t="s">
        <v>69</v>
      </c>
      <c r="D163" s="4" t="s">
        <v>71</v>
      </c>
      <c r="E163" s="4">
        <v>640.64</v>
      </c>
      <c r="F163" s="4">
        <v>11</v>
      </c>
      <c r="G163" s="4">
        <v>0.2</v>
      </c>
      <c r="H163" s="27">
        <v>45678</v>
      </c>
      <c r="I163" s="4">
        <v>205</v>
      </c>
      <c r="J163" s="4">
        <f t="shared" ca="1" si="5"/>
        <v>45979.17712615741</v>
      </c>
    </row>
    <row r="164" spans="1:10" x14ac:dyDescent="0.2">
      <c r="A164" s="4" t="s">
        <v>13</v>
      </c>
      <c r="B164" s="4" t="s">
        <v>50</v>
      </c>
      <c r="C164" s="4" t="s">
        <v>66</v>
      </c>
      <c r="D164" s="4" t="s">
        <v>72</v>
      </c>
      <c r="E164" s="4">
        <v>585.16</v>
      </c>
      <c r="F164" s="4">
        <v>17</v>
      </c>
      <c r="G164" s="4">
        <v>0.1</v>
      </c>
      <c r="H164" s="27">
        <v>45684</v>
      </c>
      <c r="I164" s="4">
        <v>263.32</v>
      </c>
      <c r="J164" s="4">
        <f t="shared" ca="1" si="5"/>
        <v>45979.17712615741</v>
      </c>
    </row>
    <row r="165" spans="1:10" x14ac:dyDescent="0.2">
      <c r="A165" s="4" t="s">
        <v>13</v>
      </c>
      <c r="B165" s="4" t="s">
        <v>45</v>
      </c>
      <c r="C165" s="4" t="s">
        <v>67</v>
      </c>
      <c r="D165" s="4" t="s">
        <v>72</v>
      </c>
      <c r="E165" s="4">
        <v>1109.98</v>
      </c>
      <c r="F165" s="4">
        <v>5</v>
      </c>
      <c r="G165" s="4">
        <v>0.2</v>
      </c>
      <c r="H165" s="27">
        <v>45690</v>
      </c>
      <c r="I165" s="4">
        <v>443.99</v>
      </c>
      <c r="J165" s="4">
        <f t="shared" ca="1" si="5"/>
        <v>45979.17712615741</v>
      </c>
    </row>
    <row r="166" spans="1:10" x14ac:dyDescent="0.2">
      <c r="A166" s="4" t="s">
        <v>28</v>
      </c>
      <c r="B166" s="4" t="s">
        <v>51</v>
      </c>
      <c r="C166" s="4" t="s">
        <v>67</v>
      </c>
      <c r="D166" s="4" t="s">
        <v>71</v>
      </c>
      <c r="E166" s="4">
        <v>1098.08</v>
      </c>
      <c r="F166" s="4">
        <v>9</v>
      </c>
      <c r="G166" s="4">
        <v>0.1</v>
      </c>
      <c r="H166" s="27">
        <v>45692</v>
      </c>
      <c r="I166" s="4">
        <v>395.31</v>
      </c>
      <c r="J166" s="4">
        <f t="shared" ca="1" si="5"/>
        <v>45979.17712615741</v>
      </c>
    </row>
    <row r="167" spans="1:10" x14ac:dyDescent="0.2">
      <c r="A167" s="4" t="s">
        <v>31</v>
      </c>
      <c r="B167" s="4" t="s">
        <v>53</v>
      </c>
      <c r="C167" s="4" t="s">
        <v>66</v>
      </c>
      <c r="D167" s="4" t="s">
        <v>75</v>
      </c>
      <c r="E167" s="4">
        <v>827.25</v>
      </c>
      <c r="F167" s="4">
        <v>7</v>
      </c>
      <c r="G167" s="4">
        <v>0.1</v>
      </c>
      <c r="H167" s="27">
        <v>45693</v>
      </c>
      <c r="I167" s="4">
        <v>335.04</v>
      </c>
      <c r="J167" s="4">
        <f t="shared" ca="1" si="5"/>
        <v>45979.17712615741</v>
      </c>
    </row>
    <row r="168" spans="1:10" x14ac:dyDescent="0.2">
      <c r="A168" s="4" t="s">
        <v>34</v>
      </c>
      <c r="B168" s="4" t="s">
        <v>44</v>
      </c>
      <c r="C168" s="4" t="s">
        <v>70</v>
      </c>
      <c r="D168" s="4" t="s">
        <v>72</v>
      </c>
      <c r="E168" s="4">
        <v>741.88</v>
      </c>
      <c r="F168" s="4">
        <v>16</v>
      </c>
      <c r="G168" s="4">
        <v>0.1</v>
      </c>
      <c r="H168" s="27">
        <v>45695</v>
      </c>
      <c r="I168" s="4">
        <v>333.85</v>
      </c>
      <c r="J168" s="4">
        <f t="shared" ca="1" si="5"/>
        <v>45979.17712615741</v>
      </c>
    </row>
    <row r="169" spans="1:10" x14ac:dyDescent="0.2">
      <c r="A169" s="4" t="s">
        <v>35</v>
      </c>
      <c r="B169" s="4" t="s">
        <v>39</v>
      </c>
      <c r="C169" s="4" t="s">
        <v>67</v>
      </c>
      <c r="D169" s="4" t="s">
        <v>75</v>
      </c>
      <c r="E169" s="4">
        <v>1311.26</v>
      </c>
      <c r="F169" s="4">
        <v>6</v>
      </c>
      <c r="G169" s="4">
        <v>0.1</v>
      </c>
      <c r="H169" s="27">
        <v>45698</v>
      </c>
      <c r="I169" s="4">
        <v>531.05999999999995</v>
      </c>
      <c r="J169" s="4">
        <f t="shared" ca="1" si="5"/>
        <v>45979.17712615741</v>
      </c>
    </row>
    <row r="170" spans="1:10" x14ac:dyDescent="0.2">
      <c r="A170" s="4" t="s">
        <v>35</v>
      </c>
      <c r="B170" s="4" t="s">
        <v>45</v>
      </c>
      <c r="C170" s="4" t="s">
        <v>68</v>
      </c>
      <c r="D170" s="4" t="s">
        <v>75</v>
      </c>
      <c r="E170" s="4">
        <v>573.32000000000005</v>
      </c>
      <c r="F170" s="4">
        <v>19</v>
      </c>
      <c r="G170" s="4">
        <v>0.1</v>
      </c>
      <c r="H170" s="27">
        <v>45703</v>
      </c>
      <c r="I170" s="4">
        <v>232.19</v>
      </c>
      <c r="J170" s="4">
        <f t="shared" ca="1" si="5"/>
        <v>45979.17712615741</v>
      </c>
    </row>
    <row r="171" spans="1:10" x14ac:dyDescent="0.2">
      <c r="A171" s="4" t="s">
        <v>25</v>
      </c>
      <c r="B171" s="4" t="s">
        <v>42</v>
      </c>
      <c r="C171" s="4" t="s">
        <v>66</v>
      </c>
      <c r="D171" s="4" t="s">
        <v>73</v>
      </c>
      <c r="E171" s="4">
        <v>1115.22</v>
      </c>
      <c r="F171" s="4">
        <v>14</v>
      </c>
      <c r="G171" s="4">
        <v>0.2</v>
      </c>
      <c r="H171" s="27">
        <v>45705</v>
      </c>
      <c r="I171" s="4">
        <v>223.04</v>
      </c>
      <c r="J171" s="4">
        <f t="shared" ca="1" si="5"/>
        <v>45979.17712615741</v>
      </c>
    </row>
    <row r="172" spans="1:10" x14ac:dyDescent="0.2">
      <c r="A172" s="4" t="s">
        <v>10</v>
      </c>
      <c r="B172" s="4" t="s">
        <v>51</v>
      </c>
      <c r="C172" s="4" t="s">
        <v>69</v>
      </c>
      <c r="D172" s="4" t="s">
        <v>72</v>
      </c>
      <c r="E172" s="4">
        <v>845.84</v>
      </c>
      <c r="F172" s="4">
        <v>4</v>
      </c>
      <c r="G172" s="4">
        <v>0</v>
      </c>
      <c r="H172" s="27">
        <v>45707</v>
      </c>
      <c r="I172" s="4">
        <v>422.92</v>
      </c>
      <c r="J172" s="4">
        <f t="shared" ca="1" si="5"/>
        <v>45979.17712615741</v>
      </c>
    </row>
    <row r="173" spans="1:10" x14ac:dyDescent="0.2">
      <c r="A173" s="4" t="s">
        <v>16</v>
      </c>
      <c r="B173" s="4" t="s">
        <v>57</v>
      </c>
      <c r="C173" s="4" t="s">
        <v>66</v>
      </c>
      <c r="D173" s="4" t="s">
        <v>73</v>
      </c>
      <c r="E173" s="4">
        <v>1029.8</v>
      </c>
      <c r="F173" s="4">
        <v>3</v>
      </c>
      <c r="G173" s="4">
        <v>0</v>
      </c>
      <c r="H173" s="27">
        <v>45708</v>
      </c>
      <c r="I173" s="4">
        <v>257.45</v>
      </c>
      <c r="J173" s="4">
        <f t="shared" ca="1" si="5"/>
        <v>45979.17712615741</v>
      </c>
    </row>
    <row r="174" spans="1:10" x14ac:dyDescent="0.2">
      <c r="A174" s="4" t="s">
        <v>17</v>
      </c>
      <c r="B174" s="4" t="s">
        <v>45</v>
      </c>
      <c r="C174" s="4" t="s">
        <v>69</v>
      </c>
      <c r="D174" s="4" t="s">
        <v>71</v>
      </c>
      <c r="E174" s="4">
        <v>1189.83</v>
      </c>
      <c r="F174" s="4">
        <v>2</v>
      </c>
      <c r="G174" s="4">
        <v>0.2</v>
      </c>
      <c r="H174" s="27">
        <v>45709</v>
      </c>
      <c r="I174" s="4">
        <v>380.75</v>
      </c>
      <c r="J174" s="4">
        <f t="shared" ca="1" si="5"/>
        <v>45979.17712615741</v>
      </c>
    </row>
    <row r="175" spans="1:10" x14ac:dyDescent="0.2">
      <c r="A175" s="4" t="s">
        <v>32</v>
      </c>
      <c r="B175" s="4" t="s">
        <v>50</v>
      </c>
      <c r="C175" s="4" t="s">
        <v>68</v>
      </c>
      <c r="D175" s="4" t="s">
        <v>71</v>
      </c>
      <c r="E175" s="4">
        <v>704.28</v>
      </c>
      <c r="F175" s="4">
        <v>15</v>
      </c>
      <c r="G175" s="4">
        <v>0.2</v>
      </c>
      <c r="H175" s="27">
        <v>45712</v>
      </c>
      <c r="I175" s="4">
        <v>225.37</v>
      </c>
      <c r="J175" s="4">
        <f t="shared" ca="1" si="5"/>
        <v>45979.17712615741</v>
      </c>
    </row>
    <row r="176" spans="1:10" x14ac:dyDescent="0.2">
      <c r="A176" s="4" t="s">
        <v>31</v>
      </c>
      <c r="B176" s="4" t="s">
        <v>52</v>
      </c>
      <c r="C176" s="4" t="s">
        <v>70</v>
      </c>
      <c r="D176" s="4" t="s">
        <v>75</v>
      </c>
      <c r="E176" s="4">
        <v>1618.22</v>
      </c>
      <c r="F176" s="4">
        <v>12</v>
      </c>
      <c r="G176" s="4">
        <v>0.2</v>
      </c>
      <c r="H176" s="27">
        <v>45712</v>
      </c>
      <c r="I176" s="4">
        <v>582.55999999999995</v>
      </c>
      <c r="J176" s="4">
        <f t="shared" ca="1" si="5"/>
        <v>45979.17712615741</v>
      </c>
    </row>
    <row r="177" spans="1:10" x14ac:dyDescent="0.2">
      <c r="A177" s="4" t="s">
        <v>36</v>
      </c>
      <c r="B177" s="4" t="s">
        <v>56</v>
      </c>
      <c r="C177" s="4" t="s">
        <v>70</v>
      </c>
      <c r="D177" s="4" t="s">
        <v>71</v>
      </c>
      <c r="E177" s="4">
        <v>1014.43</v>
      </c>
      <c r="F177" s="4">
        <v>2</v>
      </c>
      <c r="G177" s="4">
        <v>0.15</v>
      </c>
      <c r="H177" s="27">
        <v>45713</v>
      </c>
      <c r="I177" s="4">
        <v>344.91</v>
      </c>
      <c r="J177" s="4">
        <f t="shared" ca="1" si="5"/>
        <v>45979.17712615741</v>
      </c>
    </row>
    <row r="178" spans="1:10" x14ac:dyDescent="0.2">
      <c r="A178" s="4" t="s">
        <v>38</v>
      </c>
      <c r="B178" s="4" t="s">
        <v>45</v>
      </c>
      <c r="C178" s="4" t="s">
        <v>70</v>
      </c>
      <c r="D178" s="4" t="s">
        <v>72</v>
      </c>
      <c r="E178" s="4">
        <v>826.97</v>
      </c>
      <c r="F178" s="4">
        <v>18</v>
      </c>
      <c r="G178" s="4">
        <v>0.2</v>
      </c>
      <c r="H178" s="27">
        <v>45715</v>
      </c>
      <c r="I178" s="4">
        <v>330.79</v>
      </c>
      <c r="J178" s="4">
        <f t="shared" ca="1" si="5"/>
        <v>45979.17712615741</v>
      </c>
    </row>
    <row r="179" spans="1:10" x14ac:dyDescent="0.2">
      <c r="A179" s="4" t="s">
        <v>11</v>
      </c>
      <c r="B179" s="4" t="s">
        <v>45</v>
      </c>
      <c r="C179" s="4" t="s">
        <v>70</v>
      </c>
      <c r="D179" s="4" t="s">
        <v>72</v>
      </c>
      <c r="E179" s="4">
        <v>1022.23</v>
      </c>
      <c r="F179" s="4">
        <v>8</v>
      </c>
      <c r="G179" s="4">
        <v>0.1</v>
      </c>
      <c r="H179" s="27">
        <v>45717</v>
      </c>
      <c r="I179" s="4">
        <v>460</v>
      </c>
      <c r="J179" s="4">
        <f t="shared" ca="1" si="5"/>
        <v>45979.17712615741</v>
      </c>
    </row>
    <row r="180" spans="1:10" x14ac:dyDescent="0.2">
      <c r="A180" s="4" t="s">
        <v>35</v>
      </c>
      <c r="B180" s="4" t="s">
        <v>44</v>
      </c>
      <c r="C180" s="4" t="s">
        <v>67</v>
      </c>
      <c r="D180" s="4" t="s">
        <v>71</v>
      </c>
      <c r="E180" s="4">
        <v>1099.69</v>
      </c>
      <c r="F180" s="4">
        <v>6</v>
      </c>
      <c r="G180" s="4">
        <v>0</v>
      </c>
      <c r="H180" s="27">
        <v>45718</v>
      </c>
      <c r="I180" s="4">
        <v>439.88</v>
      </c>
      <c r="J180" s="4">
        <f t="shared" ca="1" si="5"/>
        <v>45979.17712615741</v>
      </c>
    </row>
    <row r="181" spans="1:10" x14ac:dyDescent="0.2">
      <c r="A181" s="4" t="s">
        <v>25</v>
      </c>
      <c r="B181" s="4" t="s">
        <v>62</v>
      </c>
      <c r="C181" s="4" t="s">
        <v>69</v>
      </c>
      <c r="D181" s="4" t="s">
        <v>71</v>
      </c>
      <c r="E181" s="4">
        <v>710.52</v>
      </c>
      <c r="F181" s="4">
        <v>8</v>
      </c>
      <c r="G181" s="4">
        <v>0.1</v>
      </c>
      <c r="H181" s="27">
        <v>45721</v>
      </c>
      <c r="I181" s="4">
        <v>255.79</v>
      </c>
      <c r="J181" s="4">
        <f t="shared" ca="1" si="5"/>
        <v>45979.17712615741</v>
      </c>
    </row>
    <row r="182" spans="1:10" x14ac:dyDescent="0.2">
      <c r="A182" s="4" t="s">
        <v>25</v>
      </c>
      <c r="B182" s="4" t="s">
        <v>59</v>
      </c>
      <c r="C182" s="4" t="s">
        <v>69</v>
      </c>
      <c r="D182" s="4" t="s">
        <v>71</v>
      </c>
      <c r="E182" s="4">
        <v>499.18</v>
      </c>
      <c r="F182" s="4">
        <v>15</v>
      </c>
      <c r="G182" s="4">
        <v>0.2</v>
      </c>
      <c r="H182" s="27">
        <v>45724</v>
      </c>
      <c r="I182" s="4">
        <v>159.74</v>
      </c>
      <c r="J182" s="4">
        <f t="shared" ca="1" si="5"/>
        <v>45979.17712615741</v>
      </c>
    </row>
    <row r="183" spans="1:10" x14ac:dyDescent="0.2">
      <c r="A183" s="4" t="s">
        <v>19</v>
      </c>
      <c r="B183" s="4" t="s">
        <v>48</v>
      </c>
      <c r="C183" s="4" t="s">
        <v>68</v>
      </c>
      <c r="D183" s="4" t="s">
        <v>71</v>
      </c>
      <c r="E183" s="4">
        <v>1064.19</v>
      </c>
      <c r="F183" s="4">
        <v>18</v>
      </c>
      <c r="G183" s="4">
        <v>0.05</v>
      </c>
      <c r="H183" s="27">
        <v>45725</v>
      </c>
      <c r="I183" s="4">
        <v>404.39</v>
      </c>
      <c r="J183" s="4">
        <f t="shared" ca="1" si="5"/>
        <v>45979.17712615741</v>
      </c>
    </row>
    <row r="184" spans="1:10" x14ac:dyDescent="0.2">
      <c r="A184" s="4" t="s">
        <v>32</v>
      </c>
      <c r="B184" s="4" t="s">
        <v>48</v>
      </c>
      <c r="C184" s="4" t="s">
        <v>67</v>
      </c>
      <c r="D184" s="4" t="s">
        <v>75</v>
      </c>
      <c r="E184" s="4">
        <v>438.76</v>
      </c>
      <c r="F184" s="4">
        <v>18</v>
      </c>
      <c r="G184" s="4">
        <v>0.05</v>
      </c>
      <c r="H184" s="27">
        <v>45726</v>
      </c>
      <c r="I184" s="4">
        <v>187.57</v>
      </c>
      <c r="J184" s="4">
        <f t="shared" ca="1" si="5"/>
        <v>45979.17712615741</v>
      </c>
    </row>
    <row r="185" spans="1:10" x14ac:dyDescent="0.2">
      <c r="A185" s="4" t="s">
        <v>21</v>
      </c>
      <c r="B185" s="4" t="s">
        <v>57</v>
      </c>
      <c r="C185" s="4" t="s">
        <v>66</v>
      </c>
      <c r="D185" s="4" t="s">
        <v>72</v>
      </c>
      <c r="E185" s="4">
        <v>864.98</v>
      </c>
      <c r="F185" s="4">
        <v>2</v>
      </c>
      <c r="G185" s="4">
        <v>0.05</v>
      </c>
      <c r="H185" s="27">
        <v>45727</v>
      </c>
      <c r="I185" s="4">
        <v>410.87</v>
      </c>
      <c r="J185" s="4">
        <f t="shared" ca="1" si="5"/>
        <v>45979.17712615741</v>
      </c>
    </row>
    <row r="186" spans="1:10" x14ac:dyDescent="0.2">
      <c r="A186" s="4" t="s">
        <v>27</v>
      </c>
      <c r="B186" s="4" t="s">
        <v>57</v>
      </c>
      <c r="C186" s="4" t="s">
        <v>66</v>
      </c>
      <c r="D186" s="4" t="s">
        <v>74</v>
      </c>
      <c r="E186" s="4">
        <v>984.93</v>
      </c>
      <c r="F186" s="4">
        <v>14</v>
      </c>
      <c r="G186" s="4">
        <v>0.2</v>
      </c>
      <c r="H186" s="27">
        <v>45733</v>
      </c>
      <c r="I186" s="4">
        <v>275.77999999999997</v>
      </c>
      <c r="J186" s="4">
        <f t="shared" ca="1" si="5"/>
        <v>45979.17712615741</v>
      </c>
    </row>
    <row r="187" spans="1:10" x14ac:dyDescent="0.2">
      <c r="A187" s="4" t="s">
        <v>14</v>
      </c>
      <c r="B187" s="4" t="s">
        <v>57</v>
      </c>
      <c r="C187" s="4" t="s">
        <v>66</v>
      </c>
      <c r="D187" s="4" t="s">
        <v>72</v>
      </c>
      <c r="E187" s="4">
        <v>1493.49</v>
      </c>
      <c r="F187" s="4">
        <v>18</v>
      </c>
      <c r="G187" s="4">
        <v>0</v>
      </c>
      <c r="H187" s="27">
        <v>45734</v>
      </c>
      <c r="I187" s="4">
        <v>746.74</v>
      </c>
      <c r="J187" s="4">
        <f t="shared" ca="1" si="5"/>
        <v>45979.17712615741</v>
      </c>
    </row>
    <row r="188" spans="1:10" x14ac:dyDescent="0.2">
      <c r="A188" s="4" t="s">
        <v>17</v>
      </c>
      <c r="B188" s="4" t="s">
        <v>56</v>
      </c>
      <c r="C188" s="4" t="s">
        <v>68</v>
      </c>
      <c r="D188" s="4" t="s">
        <v>72</v>
      </c>
      <c r="E188" s="4">
        <v>689.43</v>
      </c>
      <c r="F188" s="4">
        <v>9</v>
      </c>
      <c r="G188" s="4">
        <v>0.1</v>
      </c>
      <c r="H188" s="27">
        <v>45736</v>
      </c>
      <c r="I188" s="4">
        <v>310.24</v>
      </c>
      <c r="J188" s="4">
        <f t="shared" ca="1" si="5"/>
        <v>45979.17712615741</v>
      </c>
    </row>
    <row r="189" spans="1:10" x14ac:dyDescent="0.2">
      <c r="A189" s="4" t="s">
        <v>20</v>
      </c>
      <c r="B189" s="4" t="s">
        <v>59</v>
      </c>
      <c r="C189" s="4" t="s">
        <v>68</v>
      </c>
      <c r="D189" s="4" t="s">
        <v>72</v>
      </c>
      <c r="E189" s="4">
        <v>682.24</v>
      </c>
      <c r="F189" s="4">
        <v>1</v>
      </c>
      <c r="G189" s="4">
        <v>0</v>
      </c>
      <c r="H189" s="27">
        <v>45738</v>
      </c>
      <c r="I189" s="4">
        <v>341.12</v>
      </c>
      <c r="J189" s="4">
        <f t="shared" ca="1" si="5"/>
        <v>45979.17712615741</v>
      </c>
    </row>
    <row r="190" spans="1:10" x14ac:dyDescent="0.2">
      <c r="A190" s="4" t="s">
        <v>21</v>
      </c>
      <c r="B190" s="4" t="s">
        <v>43</v>
      </c>
      <c r="C190" s="4" t="s">
        <v>69</v>
      </c>
      <c r="D190" s="4" t="s">
        <v>73</v>
      </c>
      <c r="E190" s="4">
        <v>458.54</v>
      </c>
      <c r="F190" s="4">
        <v>15</v>
      </c>
      <c r="G190" s="4">
        <v>0.2</v>
      </c>
      <c r="H190" s="27">
        <v>45741</v>
      </c>
      <c r="I190" s="4">
        <v>91.71</v>
      </c>
      <c r="J190" s="4">
        <f t="shared" ca="1" si="5"/>
        <v>45979.17712615741</v>
      </c>
    </row>
    <row r="191" spans="1:10" x14ac:dyDescent="0.2">
      <c r="A191" s="4" t="s">
        <v>17</v>
      </c>
      <c r="B191" s="4" t="s">
        <v>43</v>
      </c>
      <c r="C191" s="4" t="s">
        <v>68</v>
      </c>
      <c r="D191" s="4" t="s">
        <v>74</v>
      </c>
      <c r="E191" s="4">
        <v>1184.25</v>
      </c>
      <c r="F191" s="4">
        <v>11</v>
      </c>
      <c r="G191" s="4">
        <v>0.2</v>
      </c>
      <c r="H191" s="27">
        <v>45742</v>
      </c>
      <c r="I191" s="4">
        <v>331.59</v>
      </c>
      <c r="J191" s="4">
        <f t="shared" ca="1" si="5"/>
        <v>45979.17712615741</v>
      </c>
    </row>
    <row r="192" spans="1:10" x14ac:dyDescent="0.2">
      <c r="A192" s="4" t="s">
        <v>14</v>
      </c>
      <c r="B192" s="4" t="s">
        <v>39</v>
      </c>
      <c r="C192" s="4" t="s">
        <v>68</v>
      </c>
      <c r="D192" s="4" t="s">
        <v>72</v>
      </c>
      <c r="E192" s="4">
        <v>762.14</v>
      </c>
      <c r="F192" s="4">
        <v>9</v>
      </c>
      <c r="G192" s="4">
        <v>0</v>
      </c>
      <c r="H192" s="27">
        <v>45743</v>
      </c>
      <c r="I192" s="4">
        <v>381.07</v>
      </c>
      <c r="J192" s="4">
        <f t="shared" ca="1" si="5"/>
        <v>45979.17712615741</v>
      </c>
    </row>
    <row r="193" spans="1:10" x14ac:dyDescent="0.2">
      <c r="A193" s="4" t="s">
        <v>13</v>
      </c>
      <c r="B193" s="4" t="s">
        <v>56</v>
      </c>
      <c r="C193" s="4" t="s">
        <v>69</v>
      </c>
      <c r="D193" s="4" t="s">
        <v>71</v>
      </c>
      <c r="E193" s="4">
        <v>750.71</v>
      </c>
      <c r="F193" s="4">
        <v>10</v>
      </c>
      <c r="G193" s="4">
        <v>0.15</v>
      </c>
      <c r="H193" s="27">
        <v>45743</v>
      </c>
      <c r="I193" s="4">
        <v>255.24</v>
      </c>
      <c r="J193" s="4">
        <f t="shared" ca="1" si="5"/>
        <v>45979.17712615741</v>
      </c>
    </row>
    <row r="194" spans="1:10" x14ac:dyDescent="0.2">
      <c r="A194" s="4" t="s">
        <v>38</v>
      </c>
      <c r="B194" s="4" t="s">
        <v>65</v>
      </c>
      <c r="C194" s="4" t="s">
        <v>70</v>
      </c>
      <c r="D194" s="4" t="s">
        <v>72</v>
      </c>
      <c r="E194" s="4">
        <v>1456.94</v>
      </c>
      <c r="F194" s="4">
        <v>14</v>
      </c>
      <c r="G194" s="4">
        <v>0.05</v>
      </c>
      <c r="H194" s="27">
        <v>45745</v>
      </c>
      <c r="I194" s="4">
        <v>692.05</v>
      </c>
      <c r="J194" s="4">
        <f t="shared" ref="J194:J201" ca="1" si="6">NOW()</f>
        <v>45979.17712615741</v>
      </c>
    </row>
    <row r="195" spans="1:10" x14ac:dyDescent="0.2">
      <c r="A195" s="4" t="s">
        <v>22</v>
      </c>
      <c r="B195" s="4" t="s">
        <v>60</v>
      </c>
      <c r="C195" s="4" t="s">
        <v>67</v>
      </c>
      <c r="D195" s="4" t="s">
        <v>74</v>
      </c>
      <c r="E195" s="4">
        <v>1093.3800000000001</v>
      </c>
      <c r="F195" s="4">
        <v>17</v>
      </c>
      <c r="G195" s="4">
        <v>0.1</v>
      </c>
      <c r="H195" s="27">
        <v>45745</v>
      </c>
      <c r="I195" s="4">
        <v>344.41</v>
      </c>
      <c r="J195" s="4">
        <f t="shared" ca="1" si="6"/>
        <v>45979.17712615741</v>
      </c>
    </row>
    <row r="196" spans="1:10" x14ac:dyDescent="0.2">
      <c r="A196" s="4" t="s">
        <v>19</v>
      </c>
      <c r="B196" s="4" t="s">
        <v>50</v>
      </c>
      <c r="C196" s="4" t="s">
        <v>66</v>
      </c>
      <c r="D196" s="4" t="s">
        <v>72</v>
      </c>
      <c r="E196" s="4">
        <v>934.27</v>
      </c>
      <c r="F196" s="4">
        <v>8</v>
      </c>
      <c r="G196" s="4">
        <v>0.15</v>
      </c>
      <c r="H196" s="27">
        <v>45746</v>
      </c>
      <c r="I196" s="4">
        <v>397.06</v>
      </c>
      <c r="J196" s="4">
        <f t="shared" ca="1" si="6"/>
        <v>45979.17712615741</v>
      </c>
    </row>
    <row r="197" spans="1:10" x14ac:dyDescent="0.2">
      <c r="A197" s="4" t="s">
        <v>34</v>
      </c>
      <c r="B197" s="4" t="s">
        <v>47</v>
      </c>
      <c r="C197" s="4" t="s">
        <v>70</v>
      </c>
      <c r="D197" s="4" t="s">
        <v>72</v>
      </c>
      <c r="E197" s="4">
        <v>1465.35</v>
      </c>
      <c r="F197" s="4">
        <v>8</v>
      </c>
      <c r="G197" s="4">
        <v>0.2</v>
      </c>
      <c r="H197" s="27">
        <v>45746</v>
      </c>
      <c r="I197" s="4">
        <v>586.14</v>
      </c>
      <c r="J197" s="4">
        <f t="shared" ca="1" si="6"/>
        <v>45979.17712615741</v>
      </c>
    </row>
    <row r="198" spans="1:10" x14ac:dyDescent="0.2">
      <c r="A198" s="4" t="s">
        <v>25</v>
      </c>
      <c r="B198" s="4" t="s">
        <v>40</v>
      </c>
      <c r="C198" s="4" t="s">
        <v>68</v>
      </c>
      <c r="D198" s="4" t="s">
        <v>75</v>
      </c>
      <c r="E198" s="4">
        <v>740.8</v>
      </c>
      <c r="F198" s="4">
        <v>3</v>
      </c>
      <c r="G198" s="4">
        <v>0</v>
      </c>
      <c r="H198" s="27">
        <v>45749</v>
      </c>
      <c r="I198" s="4">
        <v>333.36</v>
      </c>
      <c r="J198" s="4">
        <f t="shared" ca="1" si="6"/>
        <v>45979.17712615741</v>
      </c>
    </row>
    <row r="199" spans="1:10" x14ac:dyDescent="0.2">
      <c r="A199" s="4" t="s">
        <v>28</v>
      </c>
      <c r="B199" s="4" t="s">
        <v>50</v>
      </c>
      <c r="C199" s="4" t="s">
        <v>66</v>
      </c>
      <c r="D199" s="4" t="s">
        <v>75</v>
      </c>
      <c r="E199" s="4">
        <v>545.44000000000005</v>
      </c>
      <c r="F199" s="4">
        <v>17</v>
      </c>
      <c r="G199" s="4">
        <v>0</v>
      </c>
      <c r="H199" s="27">
        <v>45752</v>
      </c>
      <c r="I199" s="4">
        <v>245.45</v>
      </c>
      <c r="J199" s="4">
        <f t="shared" ca="1" si="6"/>
        <v>45979.17712615741</v>
      </c>
    </row>
    <row r="200" spans="1:10" x14ac:dyDescent="0.2">
      <c r="A200" s="4" t="s">
        <v>18</v>
      </c>
      <c r="B200" s="4" t="s">
        <v>47</v>
      </c>
      <c r="C200" s="4" t="s">
        <v>67</v>
      </c>
      <c r="D200" s="4" t="s">
        <v>71</v>
      </c>
      <c r="E200" s="4">
        <v>997.61</v>
      </c>
      <c r="F200" s="4">
        <v>8</v>
      </c>
      <c r="G200" s="4">
        <v>0.05</v>
      </c>
      <c r="H200" s="27">
        <v>45752</v>
      </c>
      <c r="I200" s="4">
        <v>379.09</v>
      </c>
      <c r="J200" s="4">
        <f t="shared" ca="1" si="6"/>
        <v>45979.17712615741</v>
      </c>
    </row>
    <row r="201" spans="1:10" x14ac:dyDescent="0.2">
      <c r="A201" s="4" t="s">
        <v>29</v>
      </c>
      <c r="B201" s="4" t="s">
        <v>47</v>
      </c>
      <c r="C201" s="4" t="s">
        <v>68</v>
      </c>
      <c r="D201" s="4" t="s">
        <v>72</v>
      </c>
      <c r="E201" s="4">
        <v>928.32</v>
      </c>
      <c r="F201" s="4">
        <v>2</v>
      </c>
      <c r="G201" s="4">
        <v>0.05</v>
      </c>
      <c r="H201" s="27">
        <v>45754</v>
      </c>
      <c r="I201" s="4">
        <v>440.95</v>
      </c>
      <c r="J201" s="4">
        <f t="shared" ca="1" si="6"/>
        <v>45979.17712615741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workbookViewId="0">
      <selection activeCell="A7" sqref="A7"/>
    </sheetView>
  </sheetViews>
  <sheetFormatPr baseColWidth="10" defaultColWidth="8.83203125" defaultRowHeight="19" x14ac:dyDescent="0.2"/>
  <cols>
    <col min="1" max="1" width="30.6640625" style="4" customWidth="1"/>
    <col min="2" max="2" width="18.6640625" style="15" customWidth="1"/>
    <col min="3" max="16384" width="8.83203125" style="4"/>
  </cols>
  <sheetData>
    <row r="1" spans="1:2" x14ac:dyDescent="0.2">
      <c r="A1" s="9" t="s">
        <v>0</v>
      </c>
      <c r="B1" s="10" t="s">
        <v>224</v>
      </c>
    </row>
    <row r="2" spans="1:2" x14ac:dyDescent="0.2">
      <c r="A2" s="11" t="s">
        <v>28</v>
      </c>
      <c r="B2" s="12">
        <v>11611.06</v>
      </c>
    </row>
    <row r="3" spans="1:2" x14ac:dyDescent="0.2">
      <c r="A3" s="11" t="s">
        <v>25</v>
      </c>
      <c r="B3" s="12">
        <v>10293.870000000001</v>
      </c>
    </row>
    <row r="4" spans="1:2" x14ac:dyDescent="0.2">
      <c r="A4" s="13" t="s">
        <v>14</v>
      </c>
      <c r="B4" s="14">
        <v>9941.8799999999992</v>
      </c>
    </row>
    <row r="6" spans="1:2" x14ac:dyDescent="0.2">
      <c r="A6" s="32" t="s">
        <v>247</v>
      </c>
    </row>
    <row r="7" spans="1:2" x14ac:dyDescent="0.2">
      <c r="A7" s="33">
        <f ca="1">INDEX(B:B, MATCH("CustomerName", A:A, 0))</f>
        <v>0</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4"/>
  <sheetViews>
    <sheetView workbookViewId="0">
      <selection activeCell="S16" sqref="S16"/>
    </sheetView>
  </sheetViews>
  <sheetFormatPr baseColWidth="10" defaultColWidth="8.83203125" defaultRowHeight="19" x14ac:dyDescent="0.2"/>
  <cols>
    <col min="1" max="2" width="21.33203125" style="4" customWidth="1"/>
    <col min="3" max="3" width="18.6640625" style="15" customWidth="1"/>
    <col min="4" max="4" width="9.33203125" style="4" customWidth="1"/>
    <col min="5" max="5" width="9.5" style="4" customWidth="1"/>
    <col min="6" max="16384" width="8.83203125" style="4"/>
  </cols>
  <sheetData>
    <row r="1" spans="1:3" x14ac:dyDescent="0.2">
      <c r="A1" s="9" t="s">
        <v>2</v>
      </c>
      <c r="B1" s="19" t="s">
        <v>3</v>
      </c>
      <c r="C1" s="10" t="s">
        <v>244</v>
      </c>
    </row>
    <row r="2" spans="1:3" x14ac:dyDescent="0.2">
      <c r="A2" s="11" t="s">
        <v>70</v>
      </c>
      <c r="B2" s="4" t="s">
        <v>71</v>
      </c>
      <c r="C2" s="12">
        <v>11297.15</v>
      </c>
    </row>
    <row r="3" spans="1:3" x14ac:dyDescent="0.2">
      <c r="A3" s="11" t="s">
        <v>70</v>
      </c>
      <c r="B3" s="4" t="s">
        <v>72</v>
      </c>
      <c r="C3" s="12">
        <v>12200.26</v>
      </c>
    </row>
    <row r="4" spans="1:3" x14ac:dyDescent="0.2">
      <c r="A4" s="11" t="s">
        <v>70</v>
      </c>
      <c r="B4" s="4" t="s">
        <v>73</v>
      </c>
      <c r="C4" s="12">
        <v>6621.24</v>
      </c>
    </row>
    <row r="5" spans="1:3" x14ac:dyDescent="0.2">
      <c r="A5" s="11" t="s">
        <v>70</v>
      </c>
      <c r="B5" s="4" t="s">
        <v>74</v>
      </c>
      <c r="C5" s="12">
        <v>4876.96</v>
      </c>
    </row>
    <row r="6" spans="1:3" x14ac:dyDescent="0.2">
      <c r="A6" s="11" t="s">
        <v>70</v>
      </c>
      <c r="B6" s="4" t="s">
        <v>75</v>
      </c>
      <c r="C6" s="12">
        <v>8472.7199999999993</v>
      </c>
    </row>
    <row r="7" spans="1:3" x14ac:dyDescent="0.2">
      <c r="A7" s="11" t="s">
        <v>67</v>
      </c>
      <c r="B7" s="4" t="s">
        <v>71</v>
      </c>
      <c r="C7" s="12">
        <v>11389.09</v>
      </c>
    </row>
    <row r="8" spans="1:3" x14ac:dyDescent="0.2">
      <c r="A8" s="11" t="s">
        <v>67</v>
      </c>
      <c r="B8" s="4" t="s">
        <v>72</v>
      </c>
      <c r="C8" s="12">
        <v>2401.4499999999998</v>
      </c>
    </row>
    <row r="9" spans="1:3" x14ac:dyDescent="0.2">
      <c r="A9" s="11" t="s">
        <v>67</v>
      </c>
      <c r="B9" s="4" t="s">
        <v>73</v>
      </c>
      <c r="C9" s="12">
        <v>2869.54</v>
      </c>
    </row>
    <row r="10" spans="1:3" x14ac:dyDescent="0.2">
      <c r="A10" s="11" t="s">
        <v>67</v>
      </c>
      <c r="B10" s="4" t="s">
        <v>74</v>
      </c>
      <c r="C10" s="12">
        <v>7592.34</v>
      </c>
    </row>
    <row r="11" spans="1:3" x14ac:dyDescent="0.2">
      <c r="A11" s="11" t="s">
        <v>67</v>
      </c>
      <c r="B11" s="4" t="s">
        <v>75</v>
      </c>
      <c r="C11" s="12">
        <v>8189.2199999999993</v>
      </c>
    </row>
    <row r="12" spans="1:3" x14ac:dyDescent="0.2">
      <c r="A12" s="11" t="s">
        <v>69</v>
      </c>
      <c r="B12" s="4" t="s">
        <v>71</v>
      </c>
      <c r="C12" s="12">
        <v>8037.01</v>
      </c>
    </row>
    <row r="13" spans="1:3" x14ac:dyDescent="0.2">
      <c r="A13" s="11" t="s">
        <v>69</v>
      </c>
      <c r="B13" s="4" t="s">
        <v>72</v>
      </c>
      <c r="C13" s="12">
        <v>8422.82</v>
      </c>
    </row>
    <row r="14" spans="1:3" x14ac:dyDescent="0.2">
      <c r="A14" s="11" t="s">
        <v>69</v>
      </c>
      <c r="B14" s="4" t="s">
        <v>73</v>
      </c>
      <c r="C14" s="12">
        <v>8191.71</v>
      </c>
    </row>
    <row r="15" spans="1:3" x14ac:dyDescent="0.2">
      <c r="A15" s="11" t="s">
        <v>69</v>
      </c>
      <c r="B15" s="4" t="s">
        <v>74</v>
      </c>
      <c r="C15" s="12">
        <v>6978.08</v>
      </c>
    </row>
    <row r="16" spans="1:3" x14ac:dyDescent="0.2">
      <c r="A16" s="11" t="s">
        <v>69</v>
      </c>
      <c r="B16" s="4" t="s">
        <v>75</v>
      </c>
      <c r="C16" s="12">
        <v>3345.8</v>
      </c>
    </row>
    <row r="17" spans="1:6" x14ac:dyDescent="0.2">
      <c r="A17" s="11" t="s">
        <v>68</v>
      </c>
      <c r="B17" s="4" t="s">
        <v>71</v>
      </c>
      <c r="C17" s="12">
        <v>9588.0400000000009</v>
      </c>
    </row>
    <row r="18" spans="1:6" x14ac:dyDescent="0.2">
      <c r="A18" s="11" t="s">
        <v>68</v>
      </c>
      <c r="B18" s="4" t="s">
        <v>72</v>
      </c>
      <c r="C18" s="12">
        <v>8393.6299999999992</v>
      </c>
    </row>
    <row r="19" spans="1:6" x14ac:dyDescent="0.2">
      <c r="A19" s="11" t="s">
        <v>68</v>
      </c>
      <c r="B19" s="4" t="s">
        <v>73</v>
      </c>
      <c r="C19" s="12">
        <v>11989.07</v>
      </c>
    </row>
    <row r="20" spans="1:6" x14ac:dyDescent="0.2">
      <c r="A20" s="11" t="s">
        <v>68</v>
      </c>
      <c r="B20" s="4" t="s">
        <v>74</v>
      </c>
      <c r="C20" s="12">
        <v>7982.73</v>
      </c>
    </row>
    <row r="21" spans="1:6" x14ac:dyDescent="0.2">
      <c r="A21" s="11" t="s">
        <v>68</v>
      </c>
      <c r="B21" s="4" t="s">
        <v>75</v>
      </c>
      <c r="C21" s="12">
        <v>2295.3200000000002</v>
      </c>
    </row>
    <row r="22" spans="1:6" x14ac:dyDescent="0.2">
      <c r="A22" s="11" t="s">
        <v>66</v>
      </c>
      <c r="B22" s="4" t="s">
        <v>71</v>
      </c>
      <c r="C22" s="12">
        <v>6691.17</v>
      </c>
    </row>
    <row r="23" spans="1:6" x14ac:dyDescent="0.2">
      <c r="A23" s="11" t="s">
        <v>66</v>
      </c>
      <c r="B23" s="4" t="s">
        <v>72</v>
      </c>
      <c r="C23" s="12">
        <v>10509.43</v>
      </c>
    </row>
    <row r="24" spans="1:6" x14ac:dyDescent="0.2">
      <c r="A24" s="11" t="s">
        <v>66</v>
      </c>
      <c r="B24" s="4" t="s">
        <v>73</v>
      </c>
      <c r="C24" s="12">
        <v>11372.44</v>
      </c>
    </row>
    <row r="25" spans="1:6" x14ac:dyDescent="0.2">
      <c r="A25" s="11" t="s">
        <v>66</v>
      </c>
      <c r="B25" s="4" t="s">
        <v>74</v>
      </c>
      <c r="C25" s="12">
        <v>9182.7800000000007</v>
      </c>
    </row>
    <row r="26" spans="1:6" x14ac:dyDescent="0.2">
      <c r="A26" s="13" t="s">
        <v>66</v>
      </c>
      <c r="B26" s="34" t="s">
        <v>75</v>
      </c>
      <c r="C26" s="14">
        <v>6327.76</v>
      </c>
    </row>
    <row r="28" spans="1:6" x14ac:dyDescent="0.2">
      <c r="A28" s="3" t="s">
        <v>248</v>
      </c>
    </row>
    <row r="29" spans="1:6" x14ac:dyDescent="0.2">
      <c r="A29" s="9" t="s">
        <v>3</v>
      </c>
      <c r="B29" s="19" t="s">
        <v>70</v>
      </c>
      <c r="C29" s="19" t="s">
        <v>67</v>
      </c>
      <c r="D29" s="19" t="s">
        <v>69</v>
      </c>
      <c r="E29" s="19" t="s">
        <v>68</v>
      </c>
      <c r="F29" s="10" t="s">
        <v>66</v>
      </c>
    </row>
    <row r="30" spans="1:6" x14ac:dyDescent="0.2">
      <c r="A30" s="11" t="s">
        <v>71</v>
      </c>
      <c r="B30" s="4">
        <v>11297.15</v>
      </c>
      <c r="C30" s="15">
        <v>11389.09</v>
      </c>
      <c r="D30" s="4">
        <v>8037.01</v>
      </c>
      <c r="E30" s="4">
        <v>9588.0400000000009</v>
      </c>
      <c r="F30" s="23">
        <v>6691.17</v>
      </c>
    </row>
    <row r="31" spans="1:6" x14ac:dyDescent="0.2">
      <c r="A31" s="11" t="s">
        <v>72</v>
      </c>
      <c r="B31" s="4">
        <v>12200.26</v>
      </c>
      <c r="C31" s="15">
        <v>2401.4499999999998</v>
      </c>
      <c r="D31" s="4">
        <v>8422.82</v>
      </c>
      <c r="E31" s="4">
        <v>8393.6299999999992</v>
      </c>
      <c r="F31" s="23">
        <v>10509.43</v>
      </c>
    </row>
    <row r="32" spans="1:6" x14ac:dyDescent="0.2">
      <c r="A32" s="11" t="s">
        <v>73</v>
      </c>
      <c r="B32" s="4">
        <v>6621.24</v>
      </c>
      <c r="C32" s="15">
        <v>2869.54</v>
      </c>
      <c r="D32" s="4">
        <v>8191.71</v>
      </c>
      <c r="E32" s="4">
        <v>11989.07</v>
      </c>
      <c r="F32" s="23">
        <v>11372.44</v>
      </c>
    </row>
    <row r="33" spans="1:6" x14ac:dyDescent="0.2">
      <c r="A33" s="11" t="s">
        <v>74</v>
      </c>
      <c r="B33" s="4">
        <v>4876.96</v>
      </c>
      <c r="C33" s="15">
        <v>7592.34</v>
      </c>
      <c r="D33" s="4">
        <v>6978.08</v>
      </c>
      <c r="E33" s="4">
        <v>7982.73</v>
      </c>
      <c r="F33" s="23">
        <v>9182.7800000000007</v>
      </c>
    </row>
    <row r="34" spans="1:6" x14ac:dyDescent="0.2">
      <c r="A34" s="13" t="s">
        <v>75</v>
      </c>
      <c r="B34" s="34">
        <v>8472.7199999999993</v>
      </c>
      <c r="C34" s="21">
        <v>8189.2199999999993</v>
      </c>
      <c r="D34" s="34">
        <v>3345.8</v>
      </c>
      <c r="E34" s="34">
        <v>2295.3200000000002</v>
      </c>
      <c r="F34" s="24">
        <v>6327.76</v>
      </c>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2"/>
  <sheetViews>
    <sheetView workbookViewId="0">
      <selection activeCell="A7" sqref="A7:B12"/>
    </sheetView>
  </sheetViews>
  <sheetFormatPr baseColWidth="10" defaultColWidth="8.83203125" defaultRowHeight="19" x14ac:dyDescent="0.2"/>
  <cols>
    <col min="1" max="1" width="30.6640625" style="4" customWidth="1"/>
    <col min="2" max="2" width="18.6640625" style="15" customWidth="1"/>
    <col min="3" max="16384" width="8.83203125" style="4"/>
  </cols>
  <sheetData>
    <row r="1" spans="1:2" x14ac:dyDescent="0.2">
      <c r="A1" s="9" t="s">
        <v>249</v>
      </c>
      <c r="B1" s="10" t="s">
        <v>228</v>
      </c>
    </row>
    <row r="2" spans="1:2" x14ac:dyDescent="0.2">
      <c r="A2" s="11" t="s">
        <v>250</v>
      </c>
      <c r="B2" s="12">
        <v>195217.76</v>
      </c>
    </row>
    <row r="3" spans="1:2" x14ac:dyDescent="0.2">
      <c r="A3" s="11" t="s">
        <v>251</v>
      </c>
      <c r="B3" s="12">
        <v>68287.010000000009</v>
      </c>
    </row>
    <row r="4" spans="1:2" x14ac:dyDescent="0.2">
      <c r="A4" s="11" t="s">
        <v>252</v>
      </c>
      <c r="B4" s="12">
        <v>976.08879999999999</v>
      </c>
    </row>
    <row r="5" spans="1:2" x14ac:dyDescent="0.2">
      <c r="A5" s="13" t="s">
        <v>253</v>
      </c>
      <c r="B5" s="14">
        <v>30</v>
      </c>
    </row>
    <row r="7" spans="1:2" x14ac:dyDescent="0.2">
      <c r="A7" s="9" t="s">
        <v>0</v>
      </c>
      <c r="B7" s="10" t="s">
        <v>224</v>
      </c>
    </row>
    <row r="8" spans="1:2" x14ac:dyDescent="0.2">
      <c r="A8" s="11" t="s">
        <v>28</v>
      </c>
      <c r="B8" s="12">
        <v>11611.06</v>
      </c>
    </row>
    <row r="9" spans="1:2" x14ac:dyDescent="0.2">
      <c r="A9" s="11" t="s">
        <v>25</v>
      </c>
      <c r="B9" s="12">
        <v>10293.870000000001</v>
      </c>
    </row>
    <row r="10" spans="1:2" x14ac:dyDescent="0.2">
      <c r="A10" s="11" t="s">
        <v>14</v>
      </c>
      <c r="B10" s="12">
        <v>9941.8799999999992</v>
      </c>
    </row>
    <row r="11" spans="1:2" x14ac:dyDescent="0.2">
      <c r="A11" s="11" t="s">
        <v>22</v>
      </c>
      <c r="B11" s="12">
        <v>9760.8000000000011</v>
      </c>
    </row>
    <row r="12" spans="1:2" x14ac:dyDescent="0.2">
      <c r="A12" s="13" t="s">
        <v>16</v>
      </c>
      <c r="B12" s="14">
        <v>9371.81</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6"/>
  <sheetViews>
    <sheetView workbookViewId="0">
      <selection activeCell="A12" sqref="A12"/>
    </sheetView>
  </sheetViews>
  <sheetFormatPr baseColWidth="10" defaultColWidth="8.83203125" defaultRowHeight="15" x14ac:dyDescent="0.2"/>
  <cols>
    <col min="1" max="1" width="20.33203125" style="2" bestFit="1" customWidth="1"/>
    <col min="2" max="2" width="34" style="2" bestFit="1" customWidth="1"/>
    <col min="3" max="3" width="8.83203125" style="2"/>
    <col min="4" max="4" width="18" style="2" bestFit="1" customWidth="1"/>
    <col min="5" max="5" width="13.1640625" style="2" bestFit="1" customWidth="1"/>
    <col min="6" max="16384" width="8.83203125" style="2"/>
  </cols>
  <sheetData>
    <row r="1" spans="1:5" ht="19" x14ac:dyDescent="0.2">
      <c r="A1" s="35" t="s">
        <v>254</v>
      </c>
    </row>
    <row r="3" spans="1:5" x14ac:dyDescent="0.2">
      <c r="A3" s="1" t="s">
        <v>255</v>
      </c>
      <c r="D3" s="1" t="s">
        <v>278</v>
      </c>
    </row>
    <row r="4" spans="1:5" x14ac:dyDescent="0.2">
      <c r="D4" s="44" t="s">
        <v>281</v>
      </c>
      <c r="E4" s="45" t="s">
        <v>282</v>
      </c>
    </row>
    <row r="5" spans="1:5" x14ac:dyDescent="0.2">
      <c r="A5" s="38" t="s">
        <v>281</v>
      </c>
      <c r="B5" s="39" t="s">
        <v>282</v>
      </c>
      <c r="D5" s="42" t="s">
        <v>250</v>
      </c>
      <c r="E5" s="43">
        <v>195217.76</v>
      </c>
    </row>
    <row r="6" spans="1:5" x14ac:dyDescent="0.2">
      <c r="A6" s="36" t="s">
        <v>256</v>
      </c>
      <c r="B6" s="37" t="s">
        <v>257</v>
      </c>
      <c r="D6" s="42" t="s">
        <v>251</v>
      </c>
      <c r="E6" s="43">
        <v>68287.010000000009</v>
      </c>
    </row>
    <row r="7" spans="1:5" x14ac:dyDescent="0.2">
      <c r="A7" s="36" t="s">
        <v>258</v>
      </c>
      <c r="B7" s="37" t="s">
        <v>259</v>
      </c>
      <c r="D7" s="42" t="s">
        <v>279</v>
      </c>
      <c r="E7" s="43">
        <v>976.08879999999999</v>
      </c>
    </row>
    <row r="8" spans="1:5" x14ac:dyDescent="0.2">
      <c r="A8" s="36" t="s">
        <v>260</v>
      </c>
      <c r="B8" s="37" t="s">
        <v>261</v>
      </c>
      <c r="D8" s="46" t="s">
        <v>253</v>
      </c>
      <c r="E8" s="41">
        <v>30</v>
      </c>
    </row>
    <row r="9" spans="1:5" x14ac:dyDescent="0.2">
      <c r="A9" s="36" t="s">
        <v>262</v>
      </c>
      <c r="B9" s="37" t="s">
        <v>263</v>
      </c>
    </row>
    <row r="10" spans="1:5" x14ac:dyDescent="0.2">
      <c r="A10" s="36" t="s">
        <v>264</v>
      </c>
      <c r="B10" s="37" t="s">
        <v>265</v>
      </c>
    </row>
    <row r="11" spans="1:5" x14ac:dyDescent="0.2">
      <c r="A11" s="36" t="s">
        <v>266</v>
      </c>
      <c r="B11" s="37" t="s">
        <v>267</v>
      </c>
    </row>
    <row r="12" spans="1:5" x14ac:dyDescent="0.2">
      <c r="A12" s="36" t="s">
        <v>268</v>
      </c>
      <c r="B12" s="37" t="s">
        <v>269</v>
      </c>
    </row>
    <row r="13" spans="1:5" x14ac:dyDescent="0.2">
      <c r="A13" s="36" t="s">
        <v>270</v>
      </c>
      <c r="B13" s="37" t="s">
        <v>271</v>
      </c>
    </row>
    <row r="14" spans="1:5" x14ac:dyDescent="0.2">
      <c r="A14" s="36" t="s">
        <v>272</v>
      </c>
      <c r="B14" s="37" t="s">
        <v>273</v>
      </c>
    </row>
    <row r="15" spans="1:5" x14ac:dyDescent="0.2">
      <c r="A15" s="36" t="s">
        <v>274</v>
      </c>
      <c r="B15" s="37" t="s">
        <v>275</v>
      </c>
    </row>
    <row r="16" spans="1:5" x14ac:dyDescent="0.2">
      <c r="A16" s="40" t="s">
        <v>276</v>
      </c>
      <c r="B16" s="41" t="s">
        <v>277</v>
      </c>
    </row>
  </sheetData>
  <hyperlinks>
    <hyperlink ref="A6" location="'Dataset'!A1" display="Dataset" xr:uid="{00000000-0004-0000-0A00-000000000000}"/>
    <hyperlink ref="A7" location="'Task1 - Top10 Cust'!A1" display="Task1 - Top10 Cust" xr:uid="{00000000-0004-0000-0A00-000001000000}"/>
    <hyperlink ref="A8" location="'Task2 - WhatIf'!A1" display="Task2 - WhatIf" xr:uid="{00000000-0004-0000-0A00-000002000000}"/>
    <hyperlink ref="A9" location="'Task3 - Regression'!A1" display="Task3 - Regression" xr:uid="{00000000-0004-0000-0A00-000003000000}"/>
    <hyperlink ref="A10" location="'Task4 - Descriptives'!A1" display="Task4 - Descriptives" xr:uid="{00000000-0004-0000-0A00-000004000000}"/>
    <hyperlink ref="A11" location="'Task5 - Monthly'!A1" display="Task5 - Monthly" xr:uid="{00000000-0004-0000-0A00-000005000000}"/>
    <hyperlink ref="A12" location="'Task6 - Timestamp'!A1" display="Task6 - Timestamp" xr:uid="{00000000-0004-0000-0A00-000006000000}"/>
    <hyperlink ref="A13" location="'Task7 - HighValue'!A1" display="Task7 - HighValue" xr:uid="{00000000-0004-0000-0A00-000007000000}"/>
    <hyperlink ref="A14" location="'Task8 - PivotRp'!A1" display="Task8 - PivotRp" xr:uid="{00000000-0004-0000-0A00-000008000000}"/>
    <hyperlink ref="A15" location="'Task9 - Charts'!A1" display="Task9 - Charts" xr:uid="{00000000-0004-0000-0A00-000009000000}"/>
    <hyperlink ref="A16" location="'Summary - Exec Overview'!A1" display="Summary - Exec Overview" xr:uid="{00000000-0004-0000-0A00-00000A000000}"/>
  </hyperlink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Project Instructions</vt:lpstr>
      <vt:lpstr>Dataset</vt:lpstr>
      <vt:lpstr>Task1 - Top10 Cust</vt:lpstr>
      <vt:lpstr>Task2 - WhatIf</vt:lpstr>
      <vt:lpstr>Task3 - Regression</vt:lpstr>
      <vt:lpstr>Task4 - Descriptives</vt:lpstr>
      <vt:lpstr>Task5 - Monthly</vt:lpstr>
      <vt:lpstr>Task6 - Timestamp</vt:lpstr>
      <vt:lpstr>Task7 - HighValue</vt:lpstr>
      <vt:lpstr>Task8 - PivotRp</vt:lpstr>
      <vt:lpstr>Task9 - Charts</vt:lpstr>
      <vt:lpstr>Summary - Exec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2025-11-13T19:28:18Z</dcterms:created>
  <dcterms:modified xsi:type="dcterms:W3CDTF">2025-11-17T22:45:03Z</dcterms:modified>
</cp:coreProperties>
</file>